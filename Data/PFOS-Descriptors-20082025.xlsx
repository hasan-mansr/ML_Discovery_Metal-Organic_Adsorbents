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sm24sch\Documents\ML_Discovery_Metal-Organic_Adsobents\Data\"/>
    </mc:Choice>
  </mc:AlternateContent>
  <xr:revisionPtr revIDLastSave="0" documentId="13_ncr:1_{2E8D9D41-028F-4857-922E-59D54144B52A}" xr6:coauthVersionLast="47" xr6:coauthVersionMax="47" xr10:uidLastSave="{00000000-0000-0000-0000-000000000000}"/>
  <bookViews>
    <workbookView xWindow="-110" yWindow="-110" windowWidth="25820" windowHeight="13900" activeTab="2" xr2:uid="{4BB31547-DEC7-4C48-81A3-F0434BAFACDA}"/>
  </bookViews>
  <sheets>
    <sheet name="Sheet1" sheetId="1" r:id="rId1"/>
    <sheet name="Sheet3" sheetId="3" r:id="rId2"/>
    <sheet name="Sheet2" sheetId="2" r:id="rId3"/>
  </sheets>
  <definedNames>
    <definedName name="_xlnm._FilterDatabase" localSheetId="2" hidden="1">Sheet2!$A$1:$H$14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G16" i="2"/>
  <c r="F16" i="2"/>
  <c r="E16" i="2"/>
  <c r="D16" i="2"/>
  <c r="C16" i="2"/>
  <c r="H17" i="2"/>
  <c r="G17" i="2"/>
  <c r="F17" i="2"/>
  <c r="E17" i="2"/>
  <c r="D17" i="2"/>
  <c r="C17" i="2"/>
</calcChain>
</file>

<file path=xl/sharedStrings.xml><?xml version="1.0" encoding="utf-8"?>
<sst xmlns="http://schemas.openxmlformats.org/spreadsheetml/2006/main" count="140" uniqueCount="97">
  <si>
    <t>#</t>
  </si>
  <si>
    <t>Name</t>
  </si>
  <si>
    <t>Metal node type</t>
  </si>
  <si>
    <t>Molecular weigth of unit cell(Å^2)</t>
  </si>
  <si>
    <t>Number of atoms</t>
  </si>
  <si>
    <t>Point group</t>
  </si>
  <si>
    <t>Space group</t>
  </si>
  <si>
    <t>Density (g/cm^3)</t>
  </si>
  <si>
    <t>linker identity</t>
  </si>
  <si>
    <t>PLD(Å)</t>
  </si>
  <si>
    <t>LCD (Å)</t>
  </si>
  <si>
    <t>Geometric surface area (GSA) (m^2/g)</t>
  </si>
  <si>
    <t>Void fraction</t>
  </si>
  <si>
    <t>Pore volume (cm^3/g)</t>
  </si>
  <si>
    <t>UiO-66</t>
  </si>
  <si>
    <t>Zr(IV)</t>
  </si>
  <si>
    <t>m -3 m</t>
  </si>
  <si>
    <t>FM-3M</t>
  </si>
  <si>
    <t>Benzene-1,4-dicarboxylic acid</t>
  </si>
  <si>
    <t>UiO-66-NH2</t>
  </si>
  <si>
    <t>2-amino-1,4-benzenedicarboxylic acid</t>
  </si>
  <si>
    <t>UiO-66-F4</t>
  </si>
  <si>
    <t>-1(Ci)</t>
  </si>
  <si>
    <t>P -1</t>
  </si>
  <si>
    <t>2,3,5,6-tetrafluoroterephthalic acid</t>
  </si>
  <si>
    <t>UiO-67</t>
  </si>
  <si>
    <t>Biphenyl-4,4 -dicarboxylic acid</t>
  </si>
  <si>
    <t>MOF-801</t>
  </si>
  <si>
    <t>m -3</t>
  </si>
  <si>
    <t>PN-3</t>
  </si>
  <si>
    <t>Fumaric acid</t>
  </si>
  <si>
    <t>PCN-222</t>
  </si>
  <si>
    <t>6/m m m</t>
  </si>
  <si>
    <t>P6/MMM</t>
  </si>
  <si>
    <t>Tetrakis (4-carboxyphenyl) porphyrin</t>
  </si>
  <si>
    <t>PCN-224</t>
  </si>
  <si>
    <t>IM-3M</t>
  </si>
  <si>
    <t>Meso-tetra(4-carboxyphenyl)porphine</t>
  </si>
  <si>
    <t>NU-1000</t>
  </si>
  <si>
    <t>1,3,6,8-tetrakis(p-benzoic acid)pyrene</t>
  </si>
  <si>
    <t>MIL-53(Al)-as</t>
  </si>
  <si>
    <t>Al(III)</t>
  </si>
  <si>
    <t>2/m</t>
  </si>
  <si>
    <t>P 21/C</t>
  </si>
  <si>
    <t>DUT-4</t>
  </si>
  <si>
    <t>C 2/C</t>
  </si>
  <si>
    <t>1,4-naphthalenedicarboxylate</t>
  </si>
  <si>
    <t>DUT-5</t>
  </si>
  <si>
    <t>m m m</t>
  </si>
  <si>
    <t>IMMA</t>
  </si>
  <si>
    <t>ZIF-8</t>
  </si>
  <si>
    <t>Zn(II)</t>
  </si>
  <si>
    <t>-4 3 m</t>
  </si>
  <si>
    <t>I -43M</t>
  </si>
  <si>
    <t>2-methylimidazole</t>
  </si>
  <si>
    <t>ZIF-67</t>
  </si>
  <si>
    <t>Co(II)</t>
  </si>
  <si>
    <t>2-Methylimidazole</t>
  </si>
  <si>
    <t>Serial</t>
  </si>
  <si>
    <t>Density</t>
  </si>
  <si>
    <t>PLD</t>
  </si>
  <si>
    <t>LCD</t>
  </si>
  <si>
    <t>GSA</t>
  </si>
  <si>
    <t>Void_Fraction</t>
  </si>
  <si>
    <t>Pore_Volume</t>
  </si>
  <si>
    <t>Max</t>
  </si>
  <si>
    <t>Min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</si>
  <si>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</si>
  <si>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</si>
  <si>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</si>
  <si>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</si>
  <si>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</si>
  <si>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</si>
  <si>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</si>
  <si>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</si>
  <si>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</si>
  <si>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</si>
  <si>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</si>
  <si>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</si>
  <si>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</si>
  <si>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</si>
  <si>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</si>
  <si>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</si>
  <si>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</si>
  <si>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</si>
  <si>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</si>
  <si>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</si>
  <si>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</si>
  <si>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</si>
  <si>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</si>
  <si>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</si>
  <si>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</si>
  <si>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</si>
  <si>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GSA</t>
  </si>
  <si>
    <t>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</si>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</sst>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4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1"/>
      <color rgb="FF1F1F1F"/>
      <name val="Arial"/>
      <family val="2"/>
    </font>
    <font>
      <sz val="11"/>
      <color rgb="FF151515"/>
      <name val="Roboto"/>
    </font>
    <font>
      <sz val="11"/>
      <color rgb="FF040C28"/>
      <name val="Arial"/>
      <family val="2"/>
    </font>
    <font>
      <b/>
      <sz val="12"/>
      <color theme="1"/>
      <name val="Arial"/>
      <family val="2"/>
    </font>
    <font>
      <sz val="11"/>
      <color rgb="FF151515"/>
      <name val="Arial"/>
      <family val="2"/>
    </font>
    <font>
      <sz val="12"/>
      <name val="Arial"/>
      <family val="2"/>
    </font>
    <font>
      <sz val="11"/>
      <name val="Arial"/>
      <family val="2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horizontal="center" vertical="center"/>
    </xf>
    <xf numFmtId="11" fontId="0" fillId="0" borderId="0" xfId="0" applyNumberFormat="1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/>
    <xf numFmtId="0" fontId="9" fillId="0" borderId="0" xfId="0" applyFont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9" fillId="3" borderId="6" xfId="0" applyFont="1" applyFill="1" applyBorder="1"/>
    <xf numFmtId="0" fontId="9" fillId="0" borderId="7" xfId="0" applyFont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wrapText="1"/>
    </xf>
    <xf numFmtId="0" fontId="5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6" fillId="6" borderId="0" xfId="0" applyFont="1" applyFill="1" applyAlignment="1">
      <alignment horizontal="center" vertical="center" wrapText="1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11" fillId="0" borderId="0" xfId="1" applyFont="1" applyFill="1" applyBorder="1" applyAlignment="1">
      <alignment horizontal="center" vertical="center"/>
    </xf>
    <xf numFmtId="0" fontId="11" fillId="0" borderId="0" xfId="0" applyFont="1" applyFill="1" applyBorder="1"/>
    <xf numFmtId="0" fontId="11" fillId="0" borderId="0" xfId="0" applyFont="1" applyFill="1" applyBorder="1" applyAlignment="1">
      <alignment horizontal="center" vertical="center"/>
    </xf>
    <xf numFmtId="43" fontId="11" fillId="0" borderId="0" xfId="2" applyFont="1" applyFill="1" applyBorder="1" applyAlignment="1">
      <alignment horizontal="center"/>
    </xf>
    <xf numFmtId="43" fontId="12" fillId="0" borderId="0" xfId="2" applyFont="1" applyFill="1" applyBorder="1" applyAlignment="1">
      <alignment horizontal="center" vertical="center" wrapText="1"/>
    </xf>
    <xf numFmtId="43" fontId="0" fillId="0" borderId="0" xfId="0" applyNumberFormat="1"/>
    <xf numFmtId="0" fontId="0" fillId="0" borderId="0" xfId="0" applyFill="1" applyBorder="1" applyAlignment="1"/>
    <xf numFmtId="0" fontId="0" fillId="0" borderId="7" xfId="0" applyFill="1" applyBorder="1" applyAlignment="1"/>
    <xf numFmtId="0" fontId="13" fillId="0" borderId="9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Continuous"/>
    </xf>
  </cellXfs>
  <cellStyles count="3">
    <cellStyle name="20% - Accent5" xfId="1" builtinId="46"/>
    <cellStyle name="Comma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Void_Fraction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Sheet2!$G$2:$G$14</c:f>
              <c:numCache>
                <c:formatCode>_(* #,##0.00_);_(* \(#,##0.00\);_(* "-"??_);_(@_)</c:formatCode>
                <c:ptCount val="13"/>
                <c:pt idx="0">
                  <c:v>0.82339499999999999</c:v>
                </c:pt>
                <c:pt idx="1">
                  <c:v>0.82091000000000003</c:v>
                </c:pt>
                <c:pt idx="2">
                  <c:v>0.82381499999999996</c:v>
                </c:pt>
                <c:pt idx="3">
                  <c:v>0.70696999999999999</c:v>
                </c:pt>
                <c:pt idx="4">
                  <c:v>0.73928499999999997</c:v>
                </c:pt>
                <c:pt idx="5">
                  <c:v>0.59773500000000002</c:v>
                </c:pt>
                <c:pt idx="6">
                  <c:v>0.590055</c:v>
                </c:pt>
                <c:pt idx="7">
                  <c:v>0.64198999999999995</c:v>
                </c:pt>
                <c:pt idx="8">
                  <c:v>0.61424999999999996</c:v>
                </c:pt>
                <c:pt idx="9">
                  <c:v>0.55081999999999998</c:v>
                </c:pt>
                <c:pt idx="10">
                  <c:v>0.36141499999999999</c:v>
                </c:pt>
                <c:pt idx="11">
                  <c:v>0.41685</c:v>
                </c:pt>
                <c:pt idx="12">
                  <c:v>0.28103499999999998</c:v>
                </c:pt>
              </c:numCache>
            </c:numRef>
          </c:xVal>
          <c:yVal>
            <c:numRef>
              <c:f>Sheet3!$C$26:$C$38</c:f>
              <c:numCache>
                <c:formatCode>General</c:formatCode>
                <c:ptCount val="13"/>
                <c:pt idx="0">
                  <c:v>-330.97965277425055</c:v>
                </c:pt>
                <c:pt idx="1">
                  <c:v>-350.80587237033433</c:v>
                </c:pt>
                <c:pt idx="2">
                  <c:v>-456.57283527615346</c:v>
                </c:pt>
                <c:pt idx="3">
                  <c:v>840.45280771170155</c:v>
                </c:pt>
                <c:pt idx="4">
                  <c:v>-32.868591029205618</c:v>
                </c:pt>
                <c:pt idx="5">
                  <c:v>289.85523610602149</c:v>
                </c:pt>
                <c:pt idx="6">
                  <c:v>-584.83605147243725</c:v>
                </c:pt>
                <c:pt idx="7">
                  <c:v>1341.8666420189975</c:v>
                </c:pt>
                <c:pt idx="8">
                  <c:v>1020.4844428830647</c:v>
                </c:pt>
                <c:pt idx="9">
                  <c:v>-1045.2347223743991</c:v>
                </c:pt>
                <c:pt idx="10">
                  <c:v>230.06823950871149</c:v>
                </c:pt>
                <c:pt idx="11">
                  <c:v>-1459.0857860157025</c:v>
                </c:pt>
                <c:pt idx="12">
                  <c:v>537.656143084002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5E-42BC-97B8-8A46ABF00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806400"/>
        <c:axId val="833807840"/>
      </c:scatterChart>
      <c:valAx>
        <c:axId val="833806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Void_Fraction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crossAx val="833807840"/>
        <c:crosses val="autoZero"/>
        <c:crossBetween val="midCat"/>
      </c:valAx>
      <c:valAx>
        <c:axId val="8338078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38064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Pore_Volume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Sheet2!$H$2:$H$14</c:f>
              <c:numCache>
                <c:formatCode>_(* #,##0.00_);_(* \(#,##0.00\);_(* "-"??_);_(@_)</c:formatCode>
                <c:ptCount val="13"/>
                <c:pt idx="0">
                  <c:v>1.6913499999999999</c:v>
                </c:pt>
                <c:pt idx="1">
                  <c:v>1.6889799999999999</c:v>
                </c:pt>
                <c:pt idx="2">
                  <c:v>1.6180000000000001</c:v>
                </c:pt>
                <c:pt idx="3">
                  <c:v>1.08446</c:v>
                </c:pt>
                <c:pt idx="4">
                  <c:v>1.02311</c:v>
                </c:pt>
                <c:pt idx="5">
                  <c:v>0.59533499999999995</c:v>
                </c:pt>
                <c:pt idx="6">
                  <c:v>0.47786099999999998</c:v>
                </c:pt>
                <c:pt idx="7">
                  <c:v>0.70048200000000005</c:v>
                </c:pt>
                <c:pt idx="8">
                  <c:v>0.67998700000000001</c:v>
                </c:pt>
                <c:pt idx="9">
                  <c:v>0.34599600000000003</c:v>
                </c:pt>
                <c:pt idx="10">
                  <c:v>0.24557899999999999</c:v>
                </c:pt>
                <c:pt idx="11">
                  <c:v>0.20608299999999999</c:v>
                </c:pt>
                <c:pt idx="12">
                  <c:v>0.171321</c:v>
                </c:pt>
              </c:numCache>
            </c:numRef>
          </c:xVal>
          <c:yVal>
            <c:numRef>
              <c:f>Sheet3!$C$26:$C$38</c:f>
              <c:numCache>
                <c:formatCode>General</c:formatCode>
                <c:ptCount val="13"/>
                <c:pt idx="0">
                  <c:v>-330.97965277425055</c:v>
                </c:pt>
                <c:pt idx="1">
                  <c:v>-350.80587237033433</c:v>
                </c:pt>
                <c:pt idx="2">
                  <c:v>-456.57283527615346</c:v>
                </c:pt>
                <c:pt idx="3">
                  <c:v>840.45280771170155</c:v>
                </c:pt>
                <c:pt idx="4">
                  <c:v>-32.868591029205618</c:v>
                </c:pt>
                <c:pt idx="5">
                  <c:v>289.85523610602149</c:v>
                </c:pt>
                <c:pt idx="6">
                  <c:v>-584.83605147243725</c:v>
                </c:pt>
                <c:pt idx="7">
                  <c:v>1341.8666420189975</c:v>
                </c:pt>
                <c:pt idx="8">
                  <c:v>1020.4844428830647</c:v>
                </c:pt>
                <c:pt idx="9">
                  <c:v>-1045.2347223743991</c:v>
                </c:pt>
                <c:pt idx="10">
                  <c:v>230.06823950871149</c:v>
                </c:pt>
                <c:pt idx="11">
                  <c:v>-1459.0857860157025</c:v>
                </c:pt>
                <c:pt idx="12">
                  <c:v>537.656143084002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1B-45B9-AE3D-C700C25DC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809640"/>
        <c:axId val="833812160"/>
      </c:scatterChart>
      <c:valAx>
        <c:axId val="833809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Pore_Volume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crossAx val="833812160"/>
        <c:crosses val="autoZero"/>
        <c:crossBetween val="midCat"/>
      </c:valAx>
      <c:valAx>
        <c:axId val="833812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380964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Sheet3!$E$26:$E$38</c:f>
              <c:numCache>
                <c:formatCode>General</c:formatCode>
                <c:ptCount val="13"/>
                <c:pt idx="0">
                  <c:v>3.8461538461538463</c:v>
                </c:pt>
                <c:pt idx="1">
                  <c:v>11.538461538461538</c:v>
                </c:pt>
                <c:pt idx="2">
                  <c:v>19.23076923076923</c:v>
                </c:pt>
                <c:pt idx="3">
                  <c:v>26.923076923076923</c:v>
                </c:pt>
                <c:pt idx="4">
                  <c:v>34.615384615384613</c:v>
                </c:pt>
                <c:pt idx="5">
                  <c:v>42.307692307692307</c:v>
                </c:pt>
                <c:pt idx="6">
                  <c:v>50</c:v>
                </c:pt>
                <c:pt idx="7">
                  <c:v>57.692307692307693</c:v>
                </c:pt>
                <c:pt idx="8">
                  <c:v>65.384615384615387</c:v>
                </c:pt>
                <c:pt idx="9">
                  <c:v>73.076923076923066</c:v>
                </c:pt>
                <c:pt idx="10">
                  <c:v>80.769230769230759</c:v>
                </c:pt>
                <c:pt idx="11">
                  <c:v>88.461538461538453</c:v>
                </c:pt>
                <c:pt idx="12">
                  <c:v>96.153846153846146</c:v>
                </c:pt>
              </c:numCache>
            </c:numRef>
          </c:xVal>
          <c:yVal>
            <c:numRef>
              <c:f>Sheet3!$F$26:$F$38</c:f>
              <c:numCache>
                <c:formatCode>General</c:formatCode>
                <c:ptCount val="13"/>
                <c:pt idx="0">
                  <c:v>2383.4299999999998</c:v>
                </c:pt>
                <c:pt idx="1">
                  <c:v>2470.35</c:v>
                </c:pt>
                <c:pt idx="2">
                  <c:v>2920.55</c:v>
                </c:pt>
                <c:pt idx="3">
                  <c:v>3321.71</c:v>
                </c:pt>
                <c:pt idx="4">
                  <c:v>3474.86</c:v>
                </c:pt>
                <c:pt idx="5">
                  <c:v>3504.23</c:v>
                </c:pt>
                <c:pt idx="6">
                  <c:v>3517.78</c:v>
                </c:pt>
                <c:pt idx="7">
                  <c:v>3879.52</c:v>
                </c:pt>
                <c:pt idx="8">
                  <c:v>4299.53</c:v>
                </c:pt>
                <c:pt idx="9">
                  <c:v>4516.55</c:v>
                </c:pt>
                <c:pt idx="10">
                  <c:v>4633.29</c:v>
                </c:pt>
                <c:pt idx="11">
                  <c:v>4812.3900000000003</c:v>
                </c:pt>
                <c:pt idx="12">
                  <c:v>4879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A5-459F-993D-24DDDA168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809640"/>
        <c:axId val="833808200"/>
      </c:scatterChart>
      <c:valAx>
        <c:axId val="833809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3808200"/>
        <c:crosses val="autoZero"/>
        <c:crossBetween val="midCat"/>
      </c:valAx>
      <c:valAx>
        <c:axId val="833808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GSA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3380964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Sheet2!$L$1</c:f>
              <c:strCache>
                <c:ptCount val="1"/>
                <c:pt idx="0">
                  <c:v>Pore_Volume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Sheet2!$K$2:$K$14</c:f>
              <c:numCache>
                <c:formatCode>_(* #,##0.00_);_(* \(#,##0.00\);_(* "-"??_);_(@_)</c:formatCode>
                <c:ptCount val="13"/>
                <c:pt idx="0">
                  <c:v>3517.78</c:v>
                </c:pt>
                <c:pt idx="1">
                  <c:v>3504.23</c:v>
                </c:pt>
                <c:pt idx="2">
                  <c:v>3321.71</c:v>
                </c:pt>
                <c:pt idx="3">
                  <c:v>4516.55</c:v>
                </c:pt>
                <c:pt idx="4">
                  <c:v>3474.86</c:v>
                </c:pt>
                <c:pt idx="5">
                  <c:v>3879.52</c:v>
                </c:pt>
                <c:pt idx="6">
                  <c:v>2920.55</c:v>
                </c:pt>
                <c:pt idx="7">
                  <c:v>4879</c:v>
                </c:pt>
                <c:pt idx="8">
                  <c:v>4633.29</c:v>
                </c:pt>
                <c:pt idx="9">
                  <c:v>2470.35</c:v>
                </c:pt>
                <c:pt idx="10">
                  <c:v>4299.53</c:v>
                </c:pt>
                <c:pt idx="11">
                  <c:v>2383.4299999999998</c:v>
                </c:pt>
                <c:pt idx="12">
                  <c:v>4812.3900000000003</c:v>
                </c:pt>
              </c:numCache>
            </c:numRef>
          </c:xVal>
          <c:yVal>
            <c:numRef>
              <c:f>Sheet2!$L$2:$L$14</c:f>
              <c:numCache>
                <c:formatCode>_(* #,##0.00_);_(* \(#,##0.00\);_(* "-"??_);_(@_)</c:formatCode>
                <c:ptCount val="13"/>
                <c:pt idx="0">
                  <c:v>1.6913499999999999</c:v>
                </c:pt>
                <c:pt idx="1">
                  <c:v>1.6889799999999999</c:v>
                </c:pt>
                <c:pt idx="2">
                  <c:v>1.6180000000000001</c:v>
                </c:pt>
                <c:pt idx="3">
                  <c:v>1.08446</c:v>
                </c:pt>
                <c:pt idx="4">
                  <c:v>1.02311</c:v>
                </c:pt>
                <c:pt idx="5">
                  <c:v>0.59533499999999995</c:v>
                </c:pt>
                <c:pt idx="6">
                  <c:v>0.47786099999999998</c:v>
                </c:pt>
                <c:pt idx="7">
                  <c:v>0.70048200000000005</c:v>
                </c:pt>
                <c:pt idx="8">
                  <c:v>0.67998700000000001</c:v>
                </c:pt>
                <c:pt idx="9">
                  <c:v>0.34599600000000003</c:v>
                </c:pt>
                <c:pt idx="10">
                  <c:v>0.24557899999999999</c:v>
                </c:pt>
                <c:pt idx="11">
                  <c:v>0.20608299999999999</c:v>
                </c:pt>
                <c:pt idx="12">
                  <c:v>0.171321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7B-4727-8EB4-9EE7AA0B1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763344"/>
        <c:axId val="404764064"/>
      </c:scatterChart>
      <c:valAx>
        <c:axId val="40476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4064"/>
        <c:crosses val="autoZero"/>
        <c:crossBetween val="midCat"/>
      </c:valAx>
      <c:valAx>
        <c:axId val="40476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Void_Fraction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Sheet2!$F$2:$F$14</c:f>
              <c:numCache>
                <c:formatCode>_(* #,##0.00_);_(* \(#,##0.00\);_(* "-"??_);_(@_)</c:formatCode>
                <c:ptCount val="13"/>
                <c:pt idx="0">
                  <c:v>3517.78</c:v>
                </c:pt>
                <c:pt idx="1">
                  <c:v>3504.23</c:v>
                </c:pt>
                <c:pt idx="2">
                  <c:v>3321.71</c:v>
                </c:pt>
                <c:pt idx="3">
                  <c:v>4516.55</c:v>
                </c:pt>
                <c:pt idx="4">
                  <c:v>3474.86</c:v>
                </c:pt>
                <c:pt idx="5">
                  <c:v>3879.52</c:v>
                </c:pt>
                <c:pt idx="6">
                  <c:v>2920.55</c:v>
                </c:pt>
                <c:pt idx="7">
                  <c:v>4879</c:v>
                </c:pt>
                <c:pt idx="8">
                  <c:v>4633.29</c:v>
                </c:pt>
                <c:pt idx="9">
                  <c:v>2470.35</c:v>
                </c:pt>
                <c:pt idx="10">
                  <c:v>4299.53</c:v>
                </c:pt>
                <c:pt idx="11">
                  <c:v>2383.4299999999998</c:v>
                </c:pt>
                <c:pt idx="12">
                  <c:v>4812.3900000000003</c:v>
                </c:pt>
              </c:numCache>
            </c:numRef>
          </c:xVal>
          <c:yVal>
            <c:numRef>
              <c:f>Sheet2!$G$2:$G$14</c:f>
              <c:numCache>
                <c:formatCode>_(* #,##0.00_);_(* \(#,##0.00\);_(* "-"??_);_(@_)</c:formatCode>
                <c:ptCount val="13"/>
                <c:pt idx="0">
                  <c:v>0.82339499999999999</c:v>
                </c:pt>
                <c:pt idx="1">
                  <c:v>0.82091000000000003</c:v>
                </c:pt>
                <c:pt idx="2">
                  <c:v>0.82381499999999996</c:v>
                </c:pt>
                <c:pt idx="3">
                  <c:v>0.70696999999999999</c:v>
                </c:pt>
                <c:pt idx="4">
                  <c:v>0.73928499999999997</c:v>
                </c:pt>
                <c:pt idx="5">
                  <c:v>0.59773500000000002</c:v>
                </c:pt>
                <c:pt idx="6">
                  <c:v>0.590055</c:v>
                </c:pt>
                <c:pt idx="7">
                  <c:v>0.64198999999999995</c:v>
                </c:pt>
                <c:pt idx="8">
                  <c:v>0.61424999999999996</c:v>
                </c:pt>
                <c:pt idx="9">
                  <c:v>0.55081999999999998</c:v>
                </c:pt>
                <c:pt idx="10">
                  <c:v>0.36141499999999999</c:v>
                </c:pt>
                <c:pt idx="11">
                  <c:v>0.41685</c:v>
                </c:pt>
                <c:pt idx="12">
                  <c:v>0.28103499999999998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2A-469F-B91E-986D191BE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275856"/>
        <c:axId val="711270456"/>
      </c:scatterChart>
      <c:valAx>
        <c:axId val="71127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270456"/>
        <c:crosses val="autoZero"/>
        <c:crossBetween val="midCat"/>
      </c:valAx>
      <c:valAx>
        <c:axId val="711270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275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LCD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Sheet2!$D$2:$D$14</c:f>
              <c:numCache>
                <c:formatCode>_(* #,##0.00_);_(* \(#,##0.00\);_(* "-"??_);_(@_)</c:formatCode>
                <c:ptCount val="13"/>
                <c:pt idx="0">
                  <c:v>30.988489999999999</c:v>
                </c:pt>
                <c:pt idx="1">
                  <c:v>28.478670000000001</c:v>
                </c:pt>
                <c:pt idx="2">
                  <c:v>14.432740000000001</c:v>
                </c:pt>
                <c:pt idx="3">
                  <c:v>11.244479999999999</c:v>
                </c:pt>
                <c:pt idx="4">
                  <c:v>6.7338699999999996</c:v>
                </c:pt>
                <c:pt idx="5">
                  <c:v>5.9708300000000003</c:v>
                </c:pt>
                <c:pt idx="6">
                  <c:v>3.8217500000000002</c:v>
                </c:pt>
                <c:pt idx="7">
                  <c:v>3.53498</c:v>
                </c:pt>
                <c:pt idx="8">
                  <c:v>3.4548000000000001</c:v>
                </c:pt>
                <c:pt idx="9">
                  <c:v>3.4371499999999999</c:v>
                </c:pt>
                <c:pt idx="10">
                  <c:v>2.5868099999999998</c:v>
                </c:pt>
                <c:pt idx="11">
                  <c:v>1.27596</c:v>
                </c:pt>
                <c:pt idx="12">
                  <c:v>1.0821400000000001</c:v>
                </c:pt>
              </c:numCache>
            </c:numRef>
          </c:xVal>
          <c:yVal>
            <c:numRef>
              <c:f>Sheet2!$E$2:$E$14</c:f>
              <c:numCache>
                <c:formatCode>_(* #,##0.00_);_(* \(#,##0.00\);_(* "-"??_);_(@_)</c:formatCode>
                <c:ptCount val="13"/>
                <c:pt idx="0">
                  <c:v>32.023940000000003</c:v>
                </c:pt>
                <c:pt idx="1">
                  <c:v>29.117139999999999</c:v>
                </c:pt>
                <c:pt idx="2">
                  <c:v>24.141760000000001</c:v>
                </c:pt>
                <c:pt idx="3">
                  <c:v>11.45407</c:v>
                </c:pt>
                <c:pt idx="4">
                  <c:v>12.96894</c:v>
                </c:pt>
                <c:pt idx="5">
                  <c:v>6.5773900000000003</c:v>
                </c:pt>
                <c:pt idx="6">
                  <c:v>8.7030700000000003</c:v>
                </c:pt>
                <c:pt idx="7">
                  <c:v>11.983090000000001</c:v>
                </c:pt>
                <c:pt idx="8">
                  <c:v>12.063359999999999</c:v>
                </c:pt>
                <c:pt idx="9">
                  <c:v>7.6516500000000001</c:v>
                </c:pt>
                <c:pt idx="10">
                  <c:v>2.7865600000000001</c:v>
                </c:pt>
                <c:pt idx="11">
                  <c:v>7.3330599999999997</c:v>
                </c:pt>
                <c:pt idx="12">
                  <c:v>2.7181899999999999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52-4E8C-A438-B92A2E82C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583656"/>
        <c:axId val="898579696"/>
      </c:scatterChart>
      <c:valAx>
        <c:axId val="898583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79696"/>
        <c:crosses val="autoZero"/>
        <c:crossBetween val="midCat"/>
      </c:valAx>
      <c:valAx>
        <c:axId val="89857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83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Pore_Volume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Sheet2!$G$2:$G$14</c:f>
              <c:numCache>
                <c:formatCode>_(* #,##0.00_);_(* \(#,##0.00\);_(* "-"??_);_(@_)</c:formatCode>
                <c:ptCount val="13"/>
                <c:pt idx="0">
                  <c:v>0.82339499999999999</c:v>
                </c:pt>
                <c:pt idx="1">
                  <c:v>0.82091000000000003</c:v>
                </c:pt>
                <c:pt idx="2">
                  <c:v>0.82381499999999996</c:v>
                </c:pt>
                <c:pt idx="3">
                  <c:v>0.70696999999999999</c:v>
                </c:pt>
                <c:pt idx="4">
                  <c:v>0.73928499999999997</c:v>
                </c:pt>
                <c:pt idx="5">
                  <c:v>0.59773500000000002</c:v>
                </c:pt>
                <c:pt idx="6">
                  <c:v>0.590055</c:v>
                </c:pt>
                <c:pt idx="7">
                  <c:v>0.64198999999999995</c:v>
                </c:pt>
                <c:pt idx="8">
                  <c:v>0.61424999999999996</c:v>
                </c:pt>
                <c:pt idx="9">
                  <c:v>0.55081999999999998</c:v>
                </c:pt>
                <c:pt idx="10">
                  <c:v>0.36141499999999999</c:v>
                </c:pt>
                <c:pt idx="11">
                  <c:v>0.41685</c:v>
                </c:pt>
                <c:pt idx="12">
                  <c:v>0.28103499999999998</c:v>
                </c:pt>
              </c:numCache>
            </c:numRef>
          </c:xVal>
          <c:yVal>
            <c:numRef>
              <c:f>Sheet2!$H$2:$H$14</c:f>
              <c:numCache>
                <c:formatCode>_(* #,##0.00_);_(* \(#,##0.00\);_(* "-"??_);_(@_)</c:formatCode>
                <c:ptCount val="13"/>
                <c:pt idx="0">
                  <c:v>1.6913499999999999</c:v>
                </c:pt>
                <c:pt idx="1">
                  <c:v>1.6889799999999999</c:v>
                </c:pt>
                <c:pt idx="2">
                  <c:v>1.6180000000000001</c:v>
                </c:pt>
                <c:pt idx="3">
                  <c:v>1.08446</c:v>
                </c:pt>
                <c:pt idx="4">
                  <c:v>1.02311</c:v>
                </c:pt>
                <c:pt idx="5">
                  <c:v>0.59533499999999995</c:v>
                </c:pt>
                <c:pt idx="6">
                  <c:v>0.47786099999999998</c:v>
                </c:pt>
                <c:pt idx="7">
                  <c:v>0.70048200000000005</c:v>
                </c:pt>
                <c:pt idx="8">
                  <c:v>0.67998700000000001</c:v>
                </c:pt>
                <c:pt idx="9">
                  <c:v>0.34599600000000003</c:v>
                </c:pt>
                <c:pt idx="10">
                  <c:v>0.24557899999999999</c:v>
                </c:pt>
                <c:pt idx="11">
                  <c:v>0.20608299999999999</c:v>
                </c:pt>
                <c:pt idx="12">
                  <c:v>0.171321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73-40A1-B4E7-7855A09B5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263256"/>
        <c:axId val="711265056"/>
      </c:scatterChart>
      <c:valAx>
        <c:axId val="711263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265056"/>
        <c:crosses val="autoZero"/>
        <c:crossBetween val="midCat"/>
      </c:valAx>
      <c:valAx>
        <c:axId val="71126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263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Sheet2!$O$1</c:f>
              <c:strCache>
                <c:ptCount val="1"/>
                <c:pt idx="0">
                  <c:v>Void_Fraction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Sheet2!$N$2:$N$14</c:f>
              <c:numCache>
                <c:formatCode>_(* #,##0.00_);_(* \(#,##0.00\);_(* "-"??_);_(@_)</c:formatCode>
                <c:ptCount val="13"/>
                <c:pt idx="0">
                  <c:v>30.988489999999999</c:v>
                </c:pt>
                <c:pt idx="1">
                  <c:v>28.478670000000001</c:v>
                </c:pt>
                <c:pt idx="2">
                  <c:v>14.432740000000001</c:v>
                </c:pt>
                <c:pt idx="3">
                  <c:v>11.244479999999999</c:v>
                </c:pt>
                <c:pt idx="4">
                  <c:v>6.7338699999999996</c:v>
                </c:pt>
                <c:pt idx="5">
                  <c:v>5.9708300000000003</c:v>
                </c:pt>
                <c:pt idx="6">
                  <c:v>3.8217500000000002</c:v>
                </c:pt>
                <c:pt idx="7">
                  <c:v>3.53498</c:v>
                </c:pt>
                <c:pt idx="8">
                  <c:v>3.4548000000000001</c:v>
                </c:pt>
                <c:pt idx="9">
                  <c:v>3.4371499999999999</c:v>
                </c:pt>
                <c:pt idx="10">
                  <c:v>2.5868099999999998</c:v>
                </c:pt>
                <c:pt idx="11">
                  <c:v>1.27596</c:v>
                </c:pt>
                <c:pt idx="12">
                  <c:v>1.0821400000000001</c:v>
                </c:pt>
              </c:numCache>
            </c:numRef>
          </c:xVal>
          <c:yVal>
            <c:numRef>
              <c:f>Sheet2!$O$2:$O$14</c:f>
              <c:numCache>
                <c:formatCode>_(* #,##0.00_);_(* \(#,##0.00\);_(* "-"??_);_(@_)</c:formatCode>
                <c:ptCount val="13"/>
                <c:pt idx="0">
                  <c:v>0.82339499999999999</c:v>
                </c:pt>
                <c:pt idx="1">
                  <c:v>0.82091000000000003</c:v>
                </c:pt>
                <c:pt idx="2">
                  <c:v>0.82381499999999996</c:v>
                </c:pt>
                <c:pt idx="3">
                  <c:v>0.70696999999999999</c:v>
                </c:pt>
                <c:pt idx="4">
                  <c:v>0.73928499999999997</c:v>
                </c:pt>
                <c:pt idx="5">
                  <c:v>0.59773500000000002</c:v>
                </c:pt>
                <c:pt idx="6">
                  <c:v>0.590055</c:v>
                </c:pt>
                <c:pt idx="7">
                  <c:v>0.64198999999999995</c:v>
                </c:pt>
                <c:pt idx="8">
                  <c:v>0.61424999999999996</c:v>
                </c:pt>
                <c:pt idx="9">
                  <c:v>0.55081999999999998</c:v>
                </c:pt>
                <c:pt idx="10">
                  <c:v>0.36141499999999999</c:v>
                </c:pt>
                <c:pt idx="11">
                  <c:v>0.41685</c:v>
                </c:pt>
                <c:pt idx="12">
                  <c:v>0.28103499999999998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53-498D-ADC9-E5952B542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336608"/>
        <c:axId val="902341648"/>
      </c:scatterChart>
      <c:valAx>
        <c:axId val="90233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341648"/>
        <c:crosses val="autoZero"/>
        <c:crossBetween val="midCat"/>
      </c:valAx>
      <c:valAx>
        <c:axId val="90234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33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248920</xdr:colOff>
      <xdr:row>0</xdr:row>
      <xdr:rowOff>175260</xdr:rowOff>
    </xdr:from>
    <xdr:to>
      <xdr:col>15</xdr:col>
      <xdr:colOff>248920</xdr:colOff>
      <xdr:row>10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93B74-896E-04BE-633A-A52020826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405130</xdr:colOff>
      <xdr:row>6</xdr:row>
      <xdr:rowOff>66040</xdr:rowOff>
    </xdr:from>
    <xdr:to>
      <xdr:col>15</xdr:col>
      <xdr:colOff>405130</xdr:colOff>
      <xdr:row>16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463AE0-625C-1869-D698-9952156F76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306070</xdr:colOff>
      <xdr:row>15</xdr:row>
      <xdr:rowOff>119380</xdr:rowOff>
    </xdr:from>
    <xdr:to>
      <xdr:col>16</xdr:col>
      <xdr:colOff>306070</xdr:colOff>
      <xdr:row>25</xdr:row>
      <xdr:rowOff>130810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988024-2F5B-6927-DD80-236697342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513080</xdr:colOff>
      <xdr:row>2</xdr:row>
      <xdr:rowOff>92710</xdr:rowOff>
    </xdr:from>
    <xdr:to>
      <xdr:col>16</xdr:col>
      <xdr:colOff>45720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84C708-F0C3-F04A-4793-01B10D810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229870</xdr:colOff>
      <xdr:row>18</xdr:row>
      <xdr:rowOff>2540</xdr:rowOff>
    </xdr:from>
    <xdr:to>
      <xdr:col>14</xdr:col>
      <xdr:colOff>176530</xdr:colOff>
      <xdr:row>32</xdr:row>
      <xdr:rowOff>181610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F09FD1-0892-97E7-098F-A3EC77237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190500</xdr:colOff>
      <xdr:row>8</xdr:row>
      <xdr:rowOff>54610</xdr:rowOff>
    </xdr:from>
    <xdr:to>
      <xdr:col>16</xdr:col>
      <xdr:colOff>332740</xdr:colOff>
      <xdr:row>22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BA0AAC-3E00-DC6F-6EF8-3A4AD924D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298450</xdr:colOff>
      <xdr:row>17</xdr:row>
      <xdr:rowOff>129540</xdr:rowOff>
    </xdr:from>
    <xdr:to>
      <xdr:col>6</xdr:col>
      <xdr:colOff>617220</xdr:colOff>
      <xdr:row>32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7F794D-76C6-1E19-EB4C-3876D8FF3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9525</xdr:colOff>
      <xdr:row>7</xdr:row>
      <xdr:rowOff>44450</xdr:rowOff>
    </xdr:from>
    <xdr:to>
      <xdr:col>12</xdr:col>
      <xdr:colOff>339725</xdr:colOff>
      <xdr:row>21</xdr:row>
      <xdr:rowOff>69850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203746-CDF2-1F93-4FDE-B319332F7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696E-6F8C-490A-9846-176BAA6065B3}">
  <dimension ref="A3:N34"/>
  <sheetViews>
    <sheetView zoomScale="85" zoomScaleNormal="85" workbookViewId="0">
      <selection activeCell="B28" sqref="B28"/>
    </sheetView>
  </sheetViews>
  <sheetFormatPr defaultRowHeight="14.5" x14ac:dyDescent="0.35"/>
  <cols>
    <col min="2" max="2" width="25.54296875" customWidth="1"/>
    <col min="3" max="3" width="26.453125" customWidth="1"/>
    <col min="4" max="4" width="38" customWidth="1"/>
    <col min="5" max="5" width="28.1796875" customWidth="1"/>
    <col min="6" max="6" width="18.81640625" customWidth="1"/>
    <col min="7" max="7" width="29.81640625" customWidth="1"/>
    <col min="8" max="8" width="37.7265625" customWidth="1"/>
    <col min="9" max="9" width="51.26953125" customWidth="1"/>
    <col min="10" max="10" width="21" customWidth="1"/>
    <col min="11" max="11" width="21.26953125" customWidth="1"/>
    <col min="12" max="12" width="37.54296875" customWidth="1"/>
    <col min="13" max="13" width="23.81640625" customWidth="1"/>
    <col min="14" max="14" width="34.7265625" customWidth="1"/>
    <col min="15" max="15" width="23.26953125" customWidth="1"/>
  </cols>
  <sheetData>
    <row r="3" spans="1:14" ht="15" thickBot="1" x14ac:dyDescent="0.4"/>
    <row r="4" spans="1:14" ht="15.5" x14ac:dyDescent="0.35">
      <c r="A4" s="10" t="s">
        <v>0</v>
      </c>
      <c r="B4" s="11" t="s">
        <v>1</v>
      </c>
      <c r="C4" s="11" t="s">
        <v>2</v>
      </c>
      <c r="D4" s="39" t="s">
        <v>3</v>
      </c>
      <c r="E4" s="39" t="s">
        <v>4</v>
      </c>
      <c r="F4" s="39" t="s">
        <v>5</v>
      </c>
      <c r="G4" s="11" t="s">
        <v>6</v>
      </c>
      <c r="H4" s="11" t="s">
        <v>7</v>
      </c>
      <c r="I4" s="39" t="s">
        <v>8</v>
      </c>
      <c r="J4" s="11" t="s">
        <v>9</v>
      </c>
      <c r="K4" s="11" t="s">
        <v>10</v>
      </c>
      <c r="L4" s="11" t="s">
        <v>11</v>
      </c>
      <c r="M4" s="11" t="s">
        <v>12</v>
      </c>
      <c r="N4" s="12" t="s">
        <v>13</v>
      </c>
    </row>
    <row r="5" spans="1:14" ht="15.5" x14ac:dyDescent="0.35">
      <c r="A5" s="13">
        <v>1</v>
      </c>
      <c r="B5" s="14" t="s">
        <v>14</v>
      </c>
      <c r="C5" s="28" t="s">
        <v>15</v>
      </c>
      <c r="D5" s="18">
        <v>6640.1046999999999</v>
      </c>
      <c r="E5" s="18">
        <v>440</v>
      </c>
      <c r="F5" s="18" t="s">
        <v>16</v>
      </c>
      <c r="G5" s="31" t="s">
        <v>17</v>
      </c>
      <c r="H5" s="32">
        <v>1.23478</v>
      </c>
      <c r="I5" s="21" t="s">
        <v>18</v>
      </c>
      <c r="J5" s="34">
        <v>3.8217500000000002</v>
      </c>
      <c r="K5" s="34">
        <v>8.7030700000000003</v>
      </c>
      <c r="L5" s="34">
        <v>2920.55</v>
      </c>
      <c r="M5" s="34">
        <v>0.590055</v>
      </c>
      <c r="N5" s="35">
        <v>0.47786099999999998</v>
      </c>
    </row>
    <row r="6" spans="1:14" ht="15.5" x14ac:dyDescent="0.35">
      <c r="A6" s="13">
        <v>2</v>
      </c>
      <c r="B6" s="14" t="s">
        <v>19</v>
      </c>
      <c r="C6" s="28" t="s">
        <v>15</v>
      </c>
      <c r="D6" s="18">
        <v>10959.820299999999</v>
      </c>
      <c r="E6" s="18">
        <v>632</v>
      </c>
      <c r="F6" s="18" t="s">
        <v>16</v>
      </c>
      <c r="G6" s="31" t="s">
        <v>17</v>
      </c>
      <c r="H6" s="32">
        <v>2.0227300000000001</v>
      </c>
      <c r="I6" s="22" t="s">
        <v>20</v>
      </c>
      <c r="J6" s="34">
        <v>1.27596</v>
      </c>
      <c r="K6" s="34">
        <v>7.3330599999999997</v>
      </c>
      <c r="L6" s="34">
        <v>2383.4299999999998</v>
      </c>
      <c r="M6" s="34">
        <v>0.41685</v>
      </c>
      <c r="N6" s="35">
        <v>0.20608299999999999</v>
      </c>
    </row>
    <row r="7" spans="1:14" ht="15.5" x14ac:dyDescent="0.35">
      <c r="A7" s="13">
        <v>3</v>
      </c>
      <c r="B7" s="14" t="s">
        <v>21</v>
      </c>
      <c r="C7" s="28" t="s">
        <v>15</v>
      </c>
      <c r="D7" s="18">
        <v>1381.1043</v>
      </c>
      <c r="E7" s="18">
        <v>186</v>
      </c>
      <c r="F7" s="18" t="s">
        <v>22</v>
      </c>
      <c r="G7" s="31" t="s">
        <v>23</v>
      </c>
      <c r="H7" s="32">
        <v>1.6404000000000001</v>
      </c>
      <c r="I7" s="21" t="s">
        <v>24</v>
      </c>
      <c r="J7" s="36">
        <v>1.0821400000000001</v>
      </c>
      <c r="K7" s="34">
        <v>2.7181899999999999</v>
      </c>
      <c r="L7" s="34">
        <v>4812.3900000000003</v>
      </c>
      <c r="M7" s="34">
        <v>0.28103499999999998</v>
      </c>
      <c r="N7" s="35">
        <v>0.171321</v>
      </c>
    </row>
    <row r="8" spans="1:14" ht="15.5" x14ac:dyDescent="0.35">
      <c r="A8" s="13">
        <v>4</v>
      </c>
      <c r="B8" s="14" t="s">
        <v>25</v>
      </c>
      <c r="C8" s="28" t="s">
        <v>15</v>
      </c>
      <c r="D8" s="18">
        <v>8466.5277000000006</v>
      </c>
      <c r="E8" s="18">
        <v>680</v>
      </c>
      <c r="F8" s="18" t="s">
        <v>16</v>
      </c>
      <c r="G8" s="31" t="s">
        <v>17</v>
      </c>
      <c r="H8" s="32">
        <v>0.72258999999999995</v>
      </c>
      <c r="I8" s="21" t="s">
        <v>26</v>
      </c>
      <c r="J8" s="34">
        <v>6.7338699999999996</v>
      </c>
      <c r="K8" s="34">
        <v>12.96894</v>
      </c>
      <c r="L8" s="34">
        <v>3474.86</v>
      </c>
      <c r="M8" s="34">
        <v>0.73928499999999997</v>
      </c>
      <c r="N8" s="35">
        <v>1.02311</v>
      </c>
    </row>
    <row r="9" spans="1:14" ht="15.5" x14ac:dyDescent="0.35">
      <c r="A9" s="13">
        <v>5</v>
      </c>
      <c r="B9" s="14" t="s">
        <v>27</v>
      </c>
      <c r="C9" s="28" t="s">
        <v>15</v>
      </c>
      <c r="D9" s="18">
        <v>5438.6720999999998</v>
      </c>
      <c r="E9" s="18">
        <v>296</v>
      </c>
      <c r="F9" s="18" t="s">
        <v>28</v>
      </c>
      <c r="G9" s="31" t="s">
        <v>29</v>
      </c>
      <c r="H9" s="32">
        <v>1.59198</v>
      </c>
      <c r="I9" s="23" t="s">
        <v>30</v>
      </c>
      <c r="J9" s="34">
        <v>3.4371499999999999</v>
      </c>
      <c r="K9" s="34">
        <v>7.6516500000000001</v>
      </c>
      <c r="L9" s="34">
        <v>2470.35</v>
      </c>
      <c r="M9" s="34">
        <v>0.55081999999999998</v>
      </c>
      <c r="N9" s="35">
        <v>0.34599600000000003</v>
      </c>
    </row>
    <row r="10" spans="1:14" ht="15.5" x14ac:dyDescent="0.35">
      <c r="A10" s="13">
        <v>6</v>
      </c>
      <c r="B10" s="14" t="s">
        <v>31</v>
      </c>
      <c r="C10" s="28" t="s">
        <v>15</v>
      </c>
      <c r="D10" s="18">
        <v>7666.2267000000002</v>
      </c>
      <c r="E10" s="18">
        <v>582</v>
      </c>
      <c r="F10" s="18" t="s">
        <v>32</v>
      </c>
      <c r="G10" s="31" t="s">
        <v>33</v>
      </c>
      <c r="H10" s="32">
        <v>0.48682999999999998</v>
      </c>
      <c r="I10" s="24" t="s">
        <v>34</v>
      </c>
      <c r="J10" s="34">
        <v>30.988489999999999</v>
      </c>
      <c r="K10" s="34">
        <v>32.023940000000003</v>
      </c>
      <c r="L10" s="34">
        <v>3517.78</v>
      </c>
      <c r="M10" s="34">
        <v>0.82339499999999999</v>
      </c>
      <c r="N10" s="35">
        <v>1.6913499999999999</v>
      </c>
    </row>
    <row r="11" spans="1:14" ht="15.5" x14ac:dyDescent="0.35">
      <c r="A11" s="13">
        <v>7</v>
      </c>
      <c r="B11" s="14" t="s">
        <v>35</v>
      </c>
      <c r="C11" s="28" t="s">
        <v>15</v>
      </c>
      <c r="D11" s="18">
        <v>17450.270400000001</v>
      </c>
      <c r="E11" s="18">
        <v>1228</v>
      </c>
      <c r="F11" s="18" t="s">
        <v>16</v>
      </c>
      <c r="G11" s="31" t="s">
        <v>36</v>
      </c>
      <c r="H11" s="32">
        <v>0.50915999999999995</v>
      </c>
      <c r="I11" s="25" t="s">
        <v>37</v>
      </c>
      <c r="J11" s="34">
        <v>14.432740000000001</v>
      </c>
      <c r="K11" s="34">
        <v>24.141760000000001</v>
      </c>
      <c r="L11" s="34">
        <v>3321.71</v>
      </c>
      <c r="M11" s="34">
        <v>0.82381499999999996</v>
      </c>
      <c r="N11" s="35">
        <v>1.6180000000000001</v>
      </c>
    </row>
    <row r="12" spans="1:14" ht="15.5" x14ac:dyDescent="0.35">
      <c r="A12" s="13">
        <v>8</v>
      </c>
      <c r="B12" s="14" t="s">
        <v>38</v>
      </c>
      <c r="C12" s="28" t="s">
        <v>15</v>
      </c>
      <c r="D12" s="18">
        <v>6481.9322000000002</v>
      </c>
      <c r="E12" s="18">
        <v>510</v>
      </c>
      <c r="F12" s="18" t="s">
        <v>32</v>
      </c>
      <c r="G12" s="31" t="s">
        <v>33</v>
      </c>
      <c r="H12" s="32">
        <v>0.48604000000000003</v>
      </c>
      <c r="I12" s="21" t="s">
        <v>39</v>
      </c>
      <c r="J12" s="34">
        <v>28.478670000000001</v>
      </c>
      <c r="K12" s="34">
        <v>29.117139999999999</v>
      </c>
      <c r="L12" s="34">
        <v>3504.23</v>
      </c>
      <c r="M12" s="34">
        <v>0.82091000000000003</v>
      </c>
      <c r="N12" s="35">
        <v>1.6889799999999999</v>
      </c>
    </row>
    <row r="13" spans="1:14" ht="15.5" x14ac:dyDescent="0.35">
      <c r="A13" s="13">
        <v>9</v>
      </c>
      <c r="B13" s="14" t="s">
        <v>40</v>
      </c>
      <c r="C13" s="28" t="s">
        <v>41</v>
      </c>
      <c r="D13" s="18">
        <v>13254.214400000001</v>
      </c>
      <c r="E13" s="18">
        <v>1152</v>
      </c>
      <c r="F13" s="18" t="s">
        <v>42</v>
      </c>
      <c r="G13" s="31" t="s">
        <v>43</v>
      </c>
      <c r="H13" s="32">
        <v>1.00403</v>
      </c>
      <c r="I13" s="22" t="s">
        <v>18</v>
      </c>
      <c r="J13" s="34">
        <v>5.9708300000000003</v>
      </c>
      <c r="K13" s="34">
        <v>6.5773900000000003</v>
      </c>
      <c r="L13" s="34">
        <v>3879.52</v>
      </c>
      <c r="M13" s="34">
        <v>0.59773500000000002</v>
      </c>
      <c r="N13" s="35">
        <v>0.59533499999999995</v>
      </c>
    </row>
    <row r="14" spans="1:14" ht="15.5" x14ac:dyDescent="0.35">
      <c r="A14" s="13">
        <v>10</v>
      </c>
      <c r="B14" s="14" t="s">
        <v>44</v>
      </c>
      <c r="C14" s="28" t="s">
        <v>41</v>
      </c>
      <c r="D14" s="18">
        <v>1028.6255000000001</v>
      </c>
      <c r="E14" s="18">
        <v>96</v>
      </c>
      <c r="F14" s="18" t="s">
        <v>42</v>
      </c>
      <c r="G14" s="31" t="s">
        <v>45</v>
      </c>
      <c r="H14" s="32">
        <v>1.4716899999999999</v>
      </c>
      <c r="I14" s="22" t="s">
        <v>46</v>
      </c>
      <c r="J14" s="34">
        <v>2.5868099999999998</v>
      </c>
      <c r="K14" s="34">
        <v>2.7865600000000001</v>
      </c>
      <c r="L14" s="34">
        <v>4299.53</v>
      </c>
      <c r="M14" s="34">
        <v>0.36141499999999999</v>
      </c>
      <c r="N14" s="35">
        <v>0.24557899999999999</v>
      </c>
    </row>
    <row r="15" spans="1:14" ht="15.5" x14ac:dyDescent="0.35">
      <c r="A15" s="13">
        <v>11</v>
      </c>
      <c r="B15" s="14" t="s">
        <v>47</v>
      </c>
      <c r="C15" s="28" t="s">
        <v>41</v>
      </c>
      <c r="D15" s="18">
        <v>1132.7773999999999</v>
      </c>
      <c r="E15" s="18">
        <v>112</v>
      </c>
      <c r="F15" s="18" t="s">
        <v>48</v>
      </c>
      <c r="G15" s="31" t="s">
        <v>49</v>
      </c>
      <c r="H15" s="32">
        <v>0.65190999999999999</v>
      </c>
      <c r="I15" s="25" t="s">
        <v>26</v>
      </c>
      <c r="J15" s="34">
        <v>11.244479999999999</v>
      </c>
      <c r="K15" s="34">
        <v>11.45407</v>
      </c>
      <c r="L15" s="34">
        <v>4516.55</v>
      </c>
      <c r="M15" s="34">
        <v>0.70696999999999999</v>
      </c>
      <c r="N15" s="35">
        <v>1.08446</v>
      </c>
    </row>
    <row r="16" spans="1:14" ht="15.5" x14ac:dyDescent="0.35">
      <c r="A16" s="13">
        <v>12</v>
      </c>
      <c r="B16" s="15" t="s">
        <v>50</v>
      </c>
      <c r="C16" s="29" t="s">
        <v>51</v>
      </c>
      <c r="D16" s="18">
        <v>2706.8485000000001</v>
      </c>
      <c r="E16" s="18">
        <v>252</v>
      </c>
      <c r="F16" s="18" t="s">
        <v>52</v>
      </c>
      <c r="G16" s="31" t="s">
        <v>53</v>
      </c>
      <c r="H16" s="32">
        <v>0.91649999999999998</v>
      </c>
      <c r="I16" s="26" t="s">
        <v>54</v>
      </c>
      <c r="J16" s="34">
        <v>3.53498</v>
      </c>
      <c r="K16" s="34">
        <v>11.983090000000001</v>
      </c>
      <c r="L16" s="34">
        <v>4879</v>
      </c>
      <c r="M16" s="34">
        <v>0.64198999999999995</v>
      </c>
      <c r="N16" s="35">
        <v>0.70048200000000005</v>
      </c>
    </row>
    <row r="17" spans="1:14" ht="16" thickBot="1" x14ac:dyDescent="0.4">
      <c r="A17" s="16">
        <v>13</v>
      </c>
      <c r="B17" s="17" t="s">
        <v>55</v>
      </c>
      <c r="C17" s="30" t="s">
        <v>56</v>
      </c>
      <c r="D17" s="19">
        <v>2629.3656000000001</v>
      </c>
      <c r="E17" s="19">
        <v>252</v>
      </c>
      <c r="F17" s="19" t="s">
        <v>52</v>
      </c>
      <c r="G17" s="30" t="s">
        <v>53</v>
      </c>
      <c r="H17" s="33">
        <v>0.90332999999999997</v>
      </c>
      <c r="I17" s="27" t="s">
        <v>57</v>
      </c>
      <c r="J17" s="37">
        <v>3.4548000000000001</v>
      </c>
      <c r="K17" s="37">
        <v>12.063359999999999</v>
      </c>
      <c r="L17" s="37">
        <v>4633.29</v>
      </c>
      <c r="M17" s="37">
        <v>0.61424999999999996</v>
      </c>
      <c r="N17" s="38">
        <v>0.67998700000000001</v>
      </c>
    </row>
    <row r="18" spans="1:14" x14ac:dyDescent="0.35">
      <c r="D18" s="20"/>
      <c r="E18" s="20"/>
      <c r="F18" s="20"/>
      <c r="I18" s="20"/>
    </row>
    <row r="19" spans="1:14" x14ac:dyDescent="0.35">
      <c r="D19" s="20"/>
      <c r="E19" s="20"/>
      <c r="F19" s="20"/>
      <c r="I19" s="20"/>
    </row>
    <row r="20" spans="1:14" x14ac:dyDescent="0.35">
      <c r="D20" s="20"/>
      <c r="E20" s="20"/>
      <c r="F20" s="20"/>
      <c r="I20" s="20"/>
    </row>
    <row r="21" spans="1:14" x14ac:dyDescent="0.35">
      <c r="B21" s="1"/>
    </row>
    <row r="22" spans="1:14" x14ac:dyDescent="0.35">
      <c r="B22" s="1"/>
      <c r="C22" s="1"/>
    </row>
    <row r="23" spans="1:14" x14ac:dyDescent="0.35">
      <c r="C23" s="4"/>
      <c r="D23" s="2"/>
    </row>
    <row r="24" spans="1:14" x14ac:dyDescent="0.35">
      <c r="C24" s="1"/>
    </row>
    <row r="25" spans="1:14" x14ac:dyDescent="0.35">
      <c r="C25" s="1"/>
    </row>
    <row r="26" spans="1:14" x14ac:dyDescent="0.35">
      <c r="C26" s="5"/>
    </row>
    <row r="27" spans="1:14" x14ac:dyDescent="0.35">
      <c r="C27" s="6"/>
    </row>
    <row r="28" spans="1:14" x14ac:dyDescent="0.35">
      <c r="C28" s="7"/>
    </row>
    <row r="29" spans="1:14" x14ac:dyDescent="0.35">
      <c r="C29" s="1"/>
    </row>
    <row r="30" spans="1:14" x14ac:dyDescent="0.35">
      <c r="C30" s="4"/>
    </row>
    <row r="31" spans="1:14" x14ac:dyDescent="0.35">
      <c r="C31" s="4"/>
    </row>
    <row r="32" spans="1:14" ht="18.5" x14ac:dyDescent="0.45">
      <c r="C32" s="7"/>
      <c r="E32" s="3"/>
    </row>
    <row r="33" spans="3:3" x14ac:dyDescent="0.35">
      <c r="C33" s="8"/>
    </row>
    <row r="34" spans="3:3" x14ac:dyDescent="0.35">
      <c r="C3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5779-98E1-426B-9BA5-775AECD70411}">
  <dimension ref="A1:I38"/>
  <sheetViews>
    <sheetView workbookViewId="0">
      <selection activeCell="B7" sqref="B7"/>
    </sheetView>
  </sheetViews>
  <sheetFormatPr defaultRowHeight="14.5" x14ac:dyDescent="0.35"/>
  <sheetData>
    <row r="1" spans="1:9" x14ac:dyDescent="0.35">
      <c r="A1" t="s">
        <v>67</v>
      </c>
    </row>
    <row r="2" spans="1:9" ht="15" thickBot="1" x14ac:dyDescent="0.4"/>
    <row r="3" spans="1:9" x14ac:dyDescent="0.35">
      <c r="A3" s="49" t="s">
        <v>68</v>
      </c>
      <c r="B3" s="49"/>
    </row>
    <row r="4" spans="1:9" x14ac:dyDescent="0.35">
      <c r="A4" s="46" t="s">
        <v>69</v>
      </c>
      <c r="B4" s="46">
        <v>0.27924549020766803</v>
      </c>
    </row>
    <row r="5" spans="1:9" x14ac:dyDescent="0.35">
      <c r="A5" s="46" t="s">
        <v>70</v>
      </c>
      <c r="B5" s="46">
        <v>7.7978043801320826E-2</v>
      </c>
    </row>
    <row r="6" spans="1:9" x14ac:dyDescent="0.35">
      <c r="A6" s="46" t="s">
        <v>71</v>
      </c>
      <c r="B6" s="46">
        <v>-0.10642634743841502</v>
      </c>
    </row>
    <row r="7" spans="1:9" x14ac:dyDescent="0.35">
      <c r="A7" s="46" t="s">
        <v>72</v>
      </c>
      <c r="B7" s="46">
        <v>893.30894083655676</v>
      </c>
    </row>
    <row r="8" spans="1:9" ht="15" thickBot="1" x14ac:dyDescent="0.4">
      <c r="A8" s="47" t="s">
        <v>73</v>
      </c>
      <c r="B8" s="47">
        <v>13</v>
      </c>
    </row>
    <row r="10" spans="1:9" ht="15" thickBot="1" x14ac:dyDescent="0.4">
      <c r="A10" t="s">
        <v>74</v>
      </c>
    </row>
    <row r="11" spans="1:9" x14ac:dyDescent="0.35">
      <c r="A11" s="48"/>
      <c r="B11" s="48" t="s">
        <v>79</v>
      </c>
      <c r="C11" s="48" t="s">
        <v>80</v>
      </c>
      <c r="D11" s="48" t="s">
        <v>81</v>
      </c>
      <c r="E11" s="48" t="s">
        <v>82</v>
      </c>
      <c r="F11" s="48" t="s">
        <v>83</v>
      </c>
    </row>
    <row r="12" spans="1:9" x14ac:dyDescent="0.35">
      <c r="A12" s="46" t="s">
        <v>75</v>
      </c>
      <c r="B12" s="46">
        <v>2</v>
      </c>
      <c r="C12" s="46">
        <v>674892.23972238507</v>
      </c>
      <c r="D12" s="46">
        <v>337446.11986119254</v>
      </c>
      <c r="E12" s="46">
        <v>0.42286435413539092</v>
      </c>
      <c r="F12" s="46">
        <v>0.66635600432934328</v>
      </c>
    </row>
    <row r="13" spans="1:9" x14ac:dyDescent="0.35">
      <c r="A13" s="46" t="s">
        <v>76</v>
      </c>
      <c r="B13" s="46">
        <v>10</v>
      </c>
      <c r="C13" s="46">
        <v>7980008.637785309</v>
      </c>
      <c r="D13" s="46">
        <v>798000.86377853085</v>
      </c>
      <c r="E13" s="46"/>
      <c r="F13" s="46"/>
    </row>
    <row r="14" spans="1:9" ht="15" thickBot="1" x14ac:dyDescent="0.4">
      <c r="A14" s="47" t="s">
        <v>77</v>
      </c>
      <c r="B14" s="47">
        <v>12</v>
      </c>
      <c r="C14" s="47">
        <v>8654900.8775076941</v>
      </c>
      <c r="D14" s="47"/>
      <c r="E14" s="47"/>
      <c r="F14" s="47"/>
    </row>
    <row r="15" spans="1:9" ht="15" thickBot="1" x14ac:dyDescent="0.4"/>
    <row r="16" spans="1:9" x14ac:dyDescent="0.35">
      <c r="A16" s="48"/>
      <c r="B16" s="48" t="s">
        <v>84</v>
      </c>
      <c r="C16" s="48" t="s">
        <v>72</v>
      </c>
      <c r="D16" s="48" t="s">
        <v>85</v>
      </c>
      <c r="E16" s="48" t="s">
        <v>86</v>
      </c>
      <c r="F16" s="48" t="s">
        <v>87</v>
      </c>
      <c r="G16" s="48" t="s">
        <v>88</v>
      </c>
      <c r="H16" s="48" t="s">
        <v>89</v>
      </c>
      <c r="I16" s="48" t="s">
        <v>90</v>
      </c>
    </row>
    <row r="17" spans="1:9" x14ac:dyDescent="0.35">
      <c r="A17" s="46" t="s">
        <v>78</v>
      </c>
      <c r="B17" s="46">
        <v>5075.5521194934436</v>
      </c>
      <c r="C17" s="46">
        <v>1489.0960448516912</v>
      </c>
      <c r="D17" s="46">
        <v>3.4084786787536938</v>
      </c>
      <c r="E17" s="46">
        <v>6.675315336716784E-3</v>
      </c>
      <c r="F17" s="46">
        <v>1757.6393676202947</v>
      </c>
      <c r="G17" s="46">
        <v>8393.464871366592</v>
      </c>
      <c r="H17" s="46">
        <v>1757.6393676202947</v>
      </c>
      <c r="I17" s="46">
        <v>8393.464871366592</v>
      </c>
    </row>
    <row r="18" spans="1:9" x14ac:dyDescent="0.35">
      <c r="A18" s="46" t="s">
        <v>63</v>
      </c>
      <c r="B18" s="46">
        <v>-3423.3112421374099</v>
      </c>
      <c r="C18" s="46">
        <v>3744.9212351757246</v>
      </c>
      <c r="D18" s="46">
        <v>-0.91412102609329682</v>
      </c>
      <c r="E18" s="46">
        <v>0.38216535941961371</v>
      </c>
      <c r="F18" s="46">
        <v>-11767.515743860869</v>
      </c>
      <c r="G18" s="46">
        <v>4920.8932595860497</v>
      </c>
      <c r="H18" s="46">
        <v>-11767.515743860869</v>
      </c>
      <c r="I18" s="46">
        <v>4920.8932595860497</v>
      </c>
    </row>
    <row r="19" spans="1:9" ht="15" thickBot="1" x14ac:dyDescent="0.4">
      <c r="A19" s="47" t="s">
        <v>64</v>
      </c>
      <c r="B19" s="47">
        <v>941.22735891479601</v>
      </c>
      <c r="C19" s="47">
        <v>1172.8214399926683</v>
      </c>
      <c r="D19" s="47">
        <v>0.80253253122715762</v>
      </c>
      <c r="E19" s="47">
        <v>0.44090076328442074</v>
      </c>
      <c r="F19" s="47">
        <v>-1671.9816579753572</v>
      </c>
      <c r="G19" s="47">
        <v>3554.4363758049494</v>
      </c>
      <c r="H19" s="47">
        <v>-1671.9816579753572</v>
      </c>
      <c r="I19" s="47">
        <v>3554.4363758049494</v>
      </c>
    </row>
    <row r="23" spans="1:9" x14ac:dyDescent="0.35">
      <c r="A23" t="s">
        <v>91</v>
      </c>
      <c r="E23" t="s">
        <v>95</v>
      </c>
    </row>
    <row r="24" spans="1:9" ht="15" thickBot="1" x14ac:dyDescent="0.4"/>
    <row r="25" spans="1:9" x14ac:dyDescent="0.35">
      <c r="A25" s="48" t="s">
        <v>92</v>
      </c>
      <c r="B25" s="48" t="s">
        <v>93</v>
      </c>
      <c r="C25" s="48" t="s">
        <v>94</v>
      </c>
      <c r="E25" s="48" t="s">
        <v>96</v>
      </c>
      <c r="F25" s="48" t="s">
        <v>62</v>
      </c>
    </row>
    <row r="26" spans="1:9" x14ac:dyDescent="0.35">
      <c r="A26" s="46">
        <v>1</v>
      </c>
      <c r="B26" s="46">
        <v>3848.7596527742508</v>
      </c>
      <c r="C26" s="46">
        <v>-330.97965277425055</v>
      </c>
      <c r="E26" s="46">
        <v>3.8461538461538463</v>
      </c>
      <c r="F26" s="46">
        <v>2383.4299999999998</v>
      </c>
    </row>
    <row r="27" spans="1:9" x14ac:dyDescent="0.35">
      <c r="A27" s="46">
        <v>2</v>
      </c>
      <c r="B27" s="46">
        <v>3855.0358723703343</v>
      </c>
      <c r="C27" s="46">
        <v>-350.80587237033433</v>
      </c>
      <c r="E27" s="46">
        <v>11.538461538461538</v>
      </c>
      <c r="F27" s="46">
        <v>2470.35</v>
      </c>
    </row>
    <row r="28" spans="1:9" x14ac:dyDescent="0.35">
      <c r="A28" s="46">
        <v>3</v>
      </c>
      <c r="B28" s="46">
        <v>3778.2828352761535</v>
      </c>
      <c r="C28" s="46">
        <v>-456.57283527615346</v>
      </c>
      <c r="E28" s="46">
        <v>19.23076923076923</v>
      </c>
      <c r="F28" s="46">
        <v>2920.55</v>
      </c>
    </row>
    <row r="29" spans="1:9" x14ac:dyDescent="0.35">
      <c r="A29" s="46">
        <v>4</v>
      </c>
      <c r="B29" s="46">
        <v>3676.0971922882986</v>
      </c>
      <c r="C29" s="46">
        <v>840.45280771170155</v>
      </c>
      <c r="E29" s="46">
        <v>26.923076923076923</v>
      </c>
      <c r="F29" s="46">
        <v>3321.71</v>
      </c>
    </row>
    <row r="30" spans="1:9" x14ac:dyDescent="0.35">
      <c r="A30" s="46">
        <v>5</v>
      </c>
      <c r="B30" s="46">
        <v>3507.7285910292057</v>
      </c>
      <c r="C30" s="46">
        <v>-32.868591029205618</v>
      </c>
      <c r="E30" s="46">
        <v>34.615384615384613</v>
      </c>
      <c r="F30" s="46">
        <v>3474.86</v>
      </c>
    </row>
    <row r="31" spans="1:9" x14ac:dyDescent="0.35">
      <c r="A31" s="46">
        <v>6</v>
      </c>
      <c r="B31" s="46">
        <v>3589.6647638939785</v>
      </c>
      <c r="C31" s="46">
        <v>289.85523610602149</v>
      </c>
      <c r="E31" s="46">
        <v>42.307692307692307</v>
      </c>
      <c r="F31" s="46">
        <v>3504.23</v>
      </c>
    </row>
    <row r="32" spans="1:9" x14ac:dyDescent="0.35">
      <c r="A32" s="46">
        <v>7</v>
      </c>
      <c r="B32" s="46">
        <v>3505.3860514724374</v>
      </c>
      <c r="C32" s="46">
        <v>-584.83605147243725</v>
      </c>
      <c r="E32" s="46">
        <v>50</v>
      </c>
      <c r="F32" s="46">
        <v>3517.78</v>
      </c>
    </row>
    <row r="33" spans="1:6" x14ac:dyDescent="0.35">
      <c r="A33" s="46">
        <v>8</v>
      </c>
      <c r="B33" s="46">
        <v>3537.1333579810025</v>
      </c>
      <c r="C33" s="46">
        <v>1341.8666420189975</v>
      </c>
      <c r="E33" s="46">
        <v>57.692307692307693</v>
      </c>
      <c r="F33" s="46">
        <v>3879.52</v>
      </c>
    </row>
    <row r="34" spans="1:6" x14ac:dyDescent="0.35">
      <c r="A34" s="46">
        <v>9</v>
      </c>
      <c r="B34" s="46">
        <v>3612.8055571169352</v>
      </c>
      <c r="C34" s="46">
        <v>1020.4844428830647</v>
      </c>
      <c r="E34" s="46">
        <v>65.384615384615387</v>
      </c>
      <c r="F34" s="46">
        <v>4299.53</v>
      </c>
    </row>
    <row r="35" spans="1:6" x14ac:dyDescent="0.35">
      <c r="A35" s="46">
        <v>10</v>
      </c>
      <c r="B35" s="46">
        <v>3515.584722374399</v>
      </c>
      <c r="C35" s="46">
        <v>-1045.2347223743991</v>
      </c>
      <c r="E35" s="46">
        <v>73.076923076923066</v>
      </c>
      <c r="F35" s="46">
        <v>4516.55</v>
      </c>
    </row>
    <row r="36" spans="1:6" x14ac:dyDescent="0.35">
      <c r="A36" s="46">
        <v>11</v>
      </c>
      <c r="B36" s="46">
        <v>4069.4617604912883</v>
      </c>
      <c r="C36" s="46">
        <v>230.06823950871149</v>
      </c>
      <c r="E36" s="46">
        <v>80.769230769230759</v>
      </c>
      <c r="F36" s="46">
        <v>4633.29</v>
      </c>
    </row>
    <row r="37" spans="1:6" x14ac:dyDescent="0.35">
      <c r="A37" s="46">
        <v>12</v>
      </c>
      <c r="B37" s="46">
        <v>3842.5157860157024</v>
      </c>
      <c r="C37" s="46">
        <v>-1459.0857860157025</v>
      </c>
      <c r="E37" s="46">
        <v>88.461538461538453</v>
      </c>
      <c r="F37" s="46">
        <v>4812.3900000000003</v>
      </c>
    </row>
    <row r="38" spans="1:6" ht="15" thickBot="1" x14ac:dyDescent="0.4">
      <c r="A38" s="47">
        <v>13</v>
      </c>
      <c r="B38" s="47">
        <v>4274.7338569159983</v>
      </c>
      <c r="C38" s="47">
        <v>537.656143084002</v>
      </c>
      <c r="E38" s="47">
        <v>96.153846153846146</v>
      </c>
      <c r="F38" s="47">
        <v>4879</v>
      </c>
    </row>
  </sheetData>
  <sortState xmlns:xlrd2="http://schemas.microsoft.com/office/spreadsheetml/2017/richdata2" ref="F26:F38">
    <sortCondition ref="F26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D0C6-DC88-442E-98A9-F78466C9A3F6}">
  <dimension ref="A1:O18"/>
  <sheetViews>
    <sheetView tabSelected="1" workbookViewId="0">
      <selection activeCell="D13" sqref="D13"/>
    </sheetView>
  </sheetViews>
  <sheetFormatPr defaultRowHeight="14.5" x14ac:dyDescent="0.35"/>
  <cols>
    <col min="1" max="1" width="5.36328125" bestFit="1" customWidth="1"/>
    <col min="2" max="2" width="14" bestFit="1" customWidth="1"/>
    <col min="3" max="3" width="9.36328125" bestFit="1" customWidth="1"/>
    <col min="4" max="5" width="10.54296875" bestFit="1" customWidth="1"/>
    <col min="6" max="6" width="11" bestFit="1" customWidth="1"/>
    <col min="7" max="7" width="12" bestFit="1" customWidth="1"/>
    <col min="8" max="8" width="11.54296875" bestFit="1" customWidth="1"/>
    <col min="11" max="11" width="11" bestFit="1" customWidth="1"/>
  </cols>
  <sheetData>
    <row r="1" spans="1:15" x14ac:dyDescent="0.35">
      <c r="A1" t="s">
        <v>58</v>
      </c>
      <c r="B1" t="s">
        <v>1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K1" t="s">
        <v>62</v>
      </c>
      <c r="L1" t="s">
        <v>64</v>
      </c>
      <c r="N1" t="s">
        <v>60</v>
      </c>
      <c r="O1" t="s">
        <v>63</v>
      </c>
    </row>
    <row r="2" spans="1:15" ht="15.5" x14ac:dyDescent="0.35">
      <c r="A2" s="41">
        <v>6</v>
      </c>
      <c r="B2" s="42" t="s">
        <v>31</v>
      </c>
      <c r="C2" s="43">
        <v>0.48682999999999998</v>
      </c>
      <c r="D2" s="43">
        <v>30.988489999999999</v>
      </c>
      <c r="E2" s="43">
        <v>32.023940000000003</v>
      </c>
      <c r="F2" s="43">
        <v>3517.78</v>
      </c>
      <c r="G2" s="43">
        <v>0.82339499999999999</v>
      </c>
      <c r="H2" s="43">
        <v>1.6913499999999999</v>
      </c>
      <c r="K2" s="43">
        <v>3517.78</v>
      </c>
      <c r="L2" s="43">
        <v>1.6913499999999999</v>
      </c>
      <c r="N2" s="43">
        <v>30.988489999999999</v>
      </c>
      <c r="O2" s="43">
        <v>0.82339499999999999</v>
      </c>
    </row>
    <row r="3" spans="1:15" ht="15.5" x14ac:dyDescent="0.35">
      <c r="A3" s="41">
        <v>8</v>
      </c>
      <c r="B3" s="42" t="s">
        <v>38</v>
      </c>
      <c r="C3" s="43">
        <v>0.48604000000000003</v>
      </c>
      <c r="D3" s="43">
        <v>28.478670000000001</v>
      </c>
      <c r="E3" s="43">
        <v>29.117139999999999</v>
      </c>
      <c r="F3" s="43">
        <v>3504.23</v>
      </c>
      <c r="G3" s="43">
        <v>0.82091000000000003</v>
      </c>
      <c r="H3" s="43">
        <v>1.6889799999999999</v>
      </c>
      <c r="K3" s="43">
        <v>3504.23</v>
      </c>
      <c r="L3" s="43">
        <v>1.6889799999999999</v>
      </c>
      <c r="N3" s="43">
        <v>28.478670000000001</v>
      </c>
      <c r="O3" s="43">
        <v>0.82091000000000003</v>
      </c>
    </row>
    <row r="4" spans="1:15" ht="15.5" x14ac:dyDescent="0.35">
      <c r="A4" s="41">
        <v>7</v>
      </c>
      <c r="B4" s="42" t="s">
        <v>35</v>
      </c>
      <c r="C4" s="43">
        <v>0.50915999999999995</v>
      </c>
      <c r="D4" s="43">
        <v>14.432740000000001</v>
      </c>
      <c r="E4" s="43">
        <v>24.141760000000001</v>
      </c>
      <c r="F4" s="43">
        <v>3321.71</v>
      </c>
      <c r="G4" s="43">
        <v>0.82381499999999996</v>
      </c>
      <c r="H4" s="43">
        <v>1.6180000000000001</v>
      </c>
      <c r="K4" s="43">
        <v>3321.71</v>
      </c>
      <c r="L4" s="43">
        <v>1.6180000000000001</v>
      </c>
      <c r="N4" s="43">
        <v>14.432740000000001</v>
      </c>
      <c r="O4" s="43">
        <v>0.82381499999999996</v>
      </c>
    </row>
    <row r="5" spans="1:15" ht="15.5" x14ac:dyDescent="0.35">
      <c r="A5" s="41">
        <v>11</v>
      </c>
      <c r="B5" s="42" t="s">
        <v>47</v>
      </c>
      <c r="C5" s="43">
        <v>0.65190999999999999</v>
      </c>
      <c r="D5" s="43">
        <v>11.244479999999999</v>
      </c>
      <c r="E5" s="43">
        <v>11.45407</v>
      </c>
      <c r="F5" s="43">
        <v>4516.55</v>
      </c>
      <c r="G5" s="43">
        <v>0.70696999999999999</v>
      </c>
      <c r="H5" s="43">
        <v>1.08446</v>
      </c>
      <c r="K5" s="43">
        <v>4516.55</v>
      </c>
      <c r="L5" s="43">
        <v>1.08446</v>
      </c>
      <c r="N5" s="43">
        <v>11.244479999999999</v>
      </c>
      <c r="O5" s="43">
        <v>0.70696999999999999</v>
      </c>
    </row>
    <row r="6" spans="1:15" ht="15.5" x14ac:dyDescent="0.35">
      <c r="A6" s="41">
        <v>4</v>
      </c>
      <c r="B6" s="42" t="s">
        <v>25</v>
      </c>
      <c r="C6" s="43">
        <v>0.72258999999999995</v>
      </c>
      <c r="D6" s="43">
        <v>6.7338699999999996</v>
      </c>
      <c r="E6" s="43">
        <v>12.96894</v>
      </c>
      <c r="F6" s="43">
        <v>3474.86</v>
      </c>
      <c r="G6" s="43">
        <v>0.73928499999999997</v>
      </c>
      <c r="H6" s="43">
        <v>1.02311</v>
      </c>
      <c r="K6" s="43">
        <v>3474.86</v>
      </c>
      <c r="L6" s="43">
        <v>1.02311</v>
      </c>
      <c r="N6" s="43">
        <v>6.7338699999999996</v>
      </c>
      <c r="O6" s="43">
        <v>0.73928499999999997</v>
      </c>
    </row>
    <row r="7" spans="1:15" ht="15.5" x14ac:dyDescent="0.35">
      <c r="A7" s="41">
        <v>9</v>
      </c>
      <c r="B7" s="42" t="s">
        <v>40</v>
      </c>
      <c r="C7" s="43">
        <v>1.00403</v>
      </c>
      <c r="D7" s="43">
        <v>5.9708300000000003</v>
      </c>
      <c r="E7" s="43">
        <v>6.5773900000000003</v>
      </c>
      <c r="F7" s="43">
        <v>3879.52</v>
      </c>
      <c r="G7" s="43">
        <v>0.59773500000000002</v>
      </c>
      <c r="H7" s="43">
        <v>0.59533499999999995</v>
      </c>
      <c r="K7" s="43">
        <v>3879.52</v>
      </c>
      <c r="L7" s="43">
        <v>0.59533499999999995</v>
      </c>
      <c r="N7" s="43">
        <v>5.9708300000000003</v>
      </c>
      <c r="O7" s="43">
        <v>0.59773500000000002</v>
      </c>
    </row>
    <row r="8" spans="1:15" ht="15.5" x14ac:dyDescent="0.35">
      <c r="A8" s="41">
        <v>1</v>
      </c>
      <c r="B8" s="42" t="s">
        <v>14</v>
      </c>
      <c r="C8" s="43">
        <v>1.23478</v>
      </c>
      <c r="D8" s="43">
        <v>3.8217500000000002</v>
      </c>
      <c r="E8" s="43">
        <v>8.7030700000000003</v>
      </c>
      <c r="F8" s="43">
        <v>2920.55</v>
      </c>
      <c r="G8" s="43">
        <v>0.590055</v>
      </c>
      <c r="H8" s="43">
        <v>0.47786099999999998</v>
      </c>
      <c r="K8" s="43">
        <v>2920.55</v>
      </c>
      <c r="L8" s="43">
        <v>0.47786099999999998</v>
      </c>
      <c r="N8" s="43">
        <v>3.8217500000000002</v>
      </c>
      <c r="O8" s="43">
        <v>0.590055</v>
      </c>
    </row>
    <row r="9" spans="1:15" ht="15.5" x14ac:dyDescent="0.35">
      <c r="A9" s="41">
        <v>12</v>
      </c>
      <c r="B9" s="40" t="s">
        <v>50</v>
      </c>
      <c r="C9" s="43">
        <v>0.91649999999999998</v>
      </c>
      <c r="D9" s="43">
        <v>3.53498</v>
      </c>
      <c r="E9" s="43">
        <v>11.983090000000001</v>
      </c>
      <c r="F9" s="43">
        <v>4879</v>
      </c>
      <c r="G9" s="43">
        <v>0.64198999999999995</v>
      </c>
      <c r="H9" s="43">
        <v>0.70048200000000005</v>
      </c>
      <c r="K9" s="43">
        <v>4879</v>
      </c>
      <c r="L9" s="43">
        <v>0.70048200000000005</v>
      </c>
      <c r="N9" s="43">
        <v>3.53498</v>
      </c>
      <c r="O9" s="43">
        <v>0.64198999999999995</v>
      </c>
    </row>
    <row r="10" spans="1:15" ht="15.5" x14ac:dyDescent="0.35">
      <c r="A10" s="41">
        <v>13</v>
      </c>
      <c r="B10" s="42" t="s">
        <v>55</v>
      </c>
      <c r="C10" s="43">
        <v>0.90332999999999997</v>
      </c>
      <c r="D10" s="43">
        <v>3.4548000000000001</v>
      </c>
      <c r="E10" s="43">
        <v>12.063359999999999</v>
      </c>
      <c r="F10" s="43">
        <v>4633.29</v>
      </c>
      <c r="G10" s="43">
        <v>0.61424999999999996</v>
      </c>
      <c r="H10" s="43">
        <v>0.67998700000000001</v>
      </c>
      <c r="K10" s="43">
        <v>4633.29</v>
      </c>
      <c r="L10" s="43">
        <v>0.67998700000000001</v>
      </c>
      <c r="N10" s="43">
        <v>3.4548000000000001</v>
      </c>
      <c r="O10" s="43">
        <v>0.61424999999999996</v>
      </c>
    </row>
    <row r="11" spans="1:15" ht="15.5" x14ac:dyDescent="0.35">
      <c r="A11" s="41">
        <v>5</v>
      </c>
      <c r="B11" s="42" t="s">
        <v>27</v>
      </c>
      <c r="C11" s="43">
        <v>1.59198</v>
      </c>
      <c r="D11" s="43">
        <v>3.4371499999999999</v>
      </c>
      <c r="E11" s="43">
        <v>7.6516500000000001</v>
      </c>
      <c r="F11" s="43">
        <v>2470.35</v>
      </c>
      <c r="G11" s="43">
        <v>0.55081999999999998</v>
      </c>
      <c r="H11" s="43">
        <v>0.34599600000000003</v>
      </c>
      <c r="K11" s="43">
        <v>2470.35</v>
      </c>
      <c r="L11" s="43">
        <v>0.34599600000000003</v>
      </c>
      <c r="N11" s="43">
        <v>3.4371499999999999</v>
      </c>
      <c r="O11" s="43">
        <v>0.55081999999999998</v>
      </c>
    </row>
    <row r="12" spans="1:15" ht="15.5" x14ac:dyDescent="0.35">
      <c r="A12" s="41">
        <v>10</v>
      </c>
      <c r="B12" s="42" t="s">
        <v>44</v>
      </c>
      <c r="C12" s="43">
        <v>1.4716899999999999</v>
      </c>
      <c r="D12" s="43">
        <v>2.5868099999999998</v>
      </c>
      <c r="E12" s="43">
        <v>2.7865600000000001</v>
      </c>
      <c r="F12" s="43">
        <v>4299.53</v>
      </c>
      <c r="G12" s="43">
        <v>0.36141499999999999</v>
      </c>
      <c r="H12" s="43">
        <v>0.24557899999999999</v>
      </c>
      <c r="K12" s="43">
        <v>4299.53</v>
      </c>
      <c r="L12" s="43">
        <v>0.24557899999999999</v>
      </c>
      <c r="N12" s="43">
        <v>2.5868099999999998</v>
      </c>
      <c r="O12" s="43">
        <v>0.36141499999999999</v>
      </c>
    </row>
    <row r="13" spans="1:15" ht="15.5" x14ac:dyDescent="0.35">
      <c r="A13" s="41">
        <v>2</v>
      </c>
      <c r="B13" s="42" t="s">
        <v>19</v>
      </c>
      <c r="C13" s="43">
        <v>2.0227300000000001</v>
      </c>
      <c r="D13" s="43">
        <v>1.27596</v>
      </c>
      <c r="E13" s="43">
        <v>7.3330599999999997</v>
      </c>
      <c r="F13" s="43">
        <v>2383.4299999999998</v>
      </c>
      <c r="G13" s="43">
        <v>0.41685</v>
      </c>
      <c r="H13" s="43">
        <v>0.20608299999999999</v>
      </c>
      <c r="K13" s="43">
        <v>2383.4299999999998</v>
      </c>
      <c r="L13" s="43">
        <v>0.20608299999999999</v>
      </c>
      <c r="N13" s="43">
        <v>1.27596</v>
      </c>
      <c r="O13" s="43">
        <v>0.41685</v>
      </c>
    </row>
    <row r="14" spans="1:15" ht="15.5" x14ac:dyDescent="0.35">
      <c r="A14" s="41">
        <v>3</v>
      </c>
      <c r="B14" s="42" t="s">
        <v>21</v>
      </c>
      <c r="C14" s="43">
        <v>1.6404000000000001</v>
      </c>
      <c r="D14" s="44">
        <v>1.0821400000000001</v>
      </c>
      <c r="E14" s="43">
        <v>2.7181899999999999</v>
      </c>
      <c r="F14" s="43">
        <v>4812.3900000000003</v>
      </c>
      <c r="G14" s="43">
        <v>0.28103499999999998</v>
      </c>
      <c r="H14" s="43">
        <v>0.171321</v>
      </c>
      <c r="K14" s="43">
        <v>4812.3900000000003</v>
      </c>
      <c r="L14" s="43">
        <v>0.171321</v>
      </c>
      <c r="N14" s="44">
        <v>1.0821400000000001</v>
      </c>
      <c r="O14" s="43">
        <v>0.28103499999999998</v>
      </c>
    </row>
    <row r="15" spans="1:15" ht="15.5" x14ac:dyDescent="0.35">
      <c r="A15" s="41"/>
      <c r="B15" s="42"/>
      <c r="C15" s="43"/>
      <c r="D15" s="43"/>
      <c r="E15" s="43"/>
      <c r="F15" s="43"/>
      <c r="G15" s="43"/>
      <c r="H15" s="43"/>
    </row>
    <row r="16" spans="1:15" ht="15.5" x14ac:dyDescent="0.35">
      <c r="B16" s="42" t="s">
        <v>66</v>
      </c>
      <c r="C16" s="45">
        <f>MIN(C2:C14)</f>
        <v>0.48604000000000003</v>
      </c>
      <c r="D16" s="45">
        <f>MIN(D2:D14)</f>
        <v>1.0821400000000001</v>
      </c>
      <c r="E16" s="45">
        <f>MIN(E2:E14)</f>
        <v>2.7181899999999999</v>
      </c>
      <c r="F16" s="45">
        <f>MIN(F2:F14)</f>
        <v>2383.4299999999998</v>
      </c>
      <c r="G16" s="45">
        <f>MIN(G2:G14)</f>
        <v>0.28103499999999998</v>
      </c>
      <c r="H16" s="45">
        <f>MIN(H2:H14)</f>
        <v>0.171321</v>
      </c>
    </row>
    <row r="17" spans="2:8" ht="15.5" x14ac:dyDescent="0.35">
      <c r="B17" s="42" t="s">
        <v>65</v>
      </c>
      <c r="C17" s="45">
        <f>MAX(C2:C14)</f>
        <v>2.0227300000000001</v>
      </c>
      <c r="D17" s="45">
        <f>MAX(D2:D14)</f>
        <v>30.988489999999999</v>
      </c>
      <c r="E17" s="45">
        <f>MAX(E2:E14)</f>
        <v>32.023940000000003</v>
      </c>
      <c r="F17" s="45">
        <f>MAX(F2:F14)</f>
        <v>4879</v>
      </c>
      <c r="G17" s="45">
        <f>MAX(G2:G14)</f>
        <v>0.82381499999999996</v>
      </c>
      <c r="H17" s="45">
        <f>MAX(H2:H14)</f>
        <v>1.6913499999999999</v>
      </c>
    </row>
    <row r="18" spans="2:8" ht="15.5" x14ac:dyDescent="0.35">
      <c r="B18" s="42"/>
    </row>
  </sheetData>
  <autoFilter ref="A1:H14" xr:uid="{CCA0D0C6-DC88-442E-98A9-F78466C9A3F6}">
    <sortState xmlns:xlrd2="http://schemas.microsoft.com/office/spreadsheetml/2017/richdata2" ref="A2:H14">
      <sortCondition descending="1" ref="D1:D14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Sousa.Javannikkhah</dc:creator>
  <cp:keywords/>
  <dc:description/>
  <cp:lastModifiedBy>Hasan Mansoor (Staff)</cp:lastModifiedBy>
  <cp:revision/>
  <dcterms:created xsi:type="dcterms:W3CDTF">2025-08-12T13:20:32Z</dcterms:created>
  <dcterms:modified xsi:type="dcterms:W3CDTF">2026-01-16T19:55:10Z</dcterms:modified>
  <cp:category/>
  <cp:contentStatus/>
</cp:coreProperties>
</file>