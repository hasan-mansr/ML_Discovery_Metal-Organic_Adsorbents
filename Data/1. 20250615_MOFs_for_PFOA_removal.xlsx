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hsm24sch\Documents\ML_Discovery_Metal-Organic_Adsobents\Data\"/>
    </mc:Choice>
  </mc:AlternateContent>
  <xr:revisionPtr revIDLastSave="0" documentId="8_{E79DDF47-FB0B-4EB6-8A46-E8A66026E78E}" xr6:coauthVersionLast="47" xr6:coauthVersionMax="47" xr10:uidLastSave="{00000000-0000-0000-0000-000000000000}"/>
  <bookViews>
    <workbookView xWindow="-110" yWindow="-110" windowWidth="25820" windowHeight="13900" xr2:uid="{7F39D62D-7A9E-4BF5-B306-F042DD003CFB}"/>
  </bookViews>
  <sheets>
    <sheet name="Sheet1" sheetId="1" r:id="rId1"/>
    <sheet name="Zeo++" sheetId="2" r:id="rId2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2" l="1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50" i="1"/>
  <c r="B48" i="1"/>
  <c r="B46" i="1"/>
  <c r="B45" i="1"/>
  <c r="B44" i="1"/>
  <c r="B42" i="1"/>
  <c r="B40" i="1"/>
  <c r="B39" i="1"/>
  <c r="B37" i="1"/>
  <c r="B36" i="1"/>
  <c r="B35" i="1"/>
  <c r="B34" i="1"/>
  <c r="B33" i="1"/>
  <c r="B31" i="1"/>
  <c r="B30" i="1"/>
  <c r="B28" i="1"/>
  <c r="B27" i="1"/>
  <c r="B26" i="1"/>
  <c r="B25" i="1"/>
  <c r="B24" i="1"/>
  <c r="B22" i="1"/>
  <c r="B21" i="1"/>
  <c r="B20" i="1"/>
  <c r="B19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<sst xmlns="http://schemas.openxmlformats.org/spreadsheetml/2006/main" count="508" uniqueCount="192">
  <si>
    <t>Units: pp,: mg/L; ppb: ug/L; ppt: ng/L</t>
  </si>
  <si>
    <t>MOFs name</t>
  </si>
  <si>
    <t>Metal ion</t>
  </si>
  <si>
    <t>Organic ligand</t>
  </si>
  <si>
    <t>CSD refcode</t>
  </si>
  <si>
    <t>CCDC number</t>
  </si>
  <si>
    <t>MOF dosage(g/L)</t>
  </si>
  <si>
    <t>Higest removal and/or capacity achieved from aquoeus PFAS concentrations of</t>
  </si>
  <si>
    <t>pH</t>
  </si>
  <si>
    <t>Adsorption capacity (mg/g)</t>
  </si>
  <si>
    <t>Removal performance (%)</t>
  </si>
  <si>
    <t>Regeneration solvents</t>
  </si>
  <si>
    <t>Regeneration performance</t>
  </si>
  <si>
    <t>Reference</t>
  </si>
  <si>
    <t>CAS Number for ligands</t>
  </si>
  <si>
    <t>Zr(IV) MOFs</t>
  </si>
  <si>
    <t>UiO-66</t>
  </si>
  <si>
    <t>Zr(IV)</t>
  </si>
  <si>
    <t>Benzene-1,4-dicarboxylic acid</t>
  </si>
  <si>
    <t>RUBTAK03</t>
  </si>
  <si>
    <t>2 μg/L</t>
  </si>
  <si>
    <t>30 min</t>
  </si>
  <si>
    <t>N/M</t>
  </si>
  <si>
    <t>methanol + 1% NaCl (70–30 v/v)</t>
  </si>
  <si>
    <t>83% removal after 5 cycles</t>
  </si>
  <si>
    <t>https://advanced.onlinelibrary.wiley.com/doi/full/10.1002/adma.202413120</t>
  </si>
  <si>
    <t>100-21-0</t>
  </si>
  <si>
    <t>UiO-66-5</t>
  </si>
  <si>
    <t>N/A</t>
  </si>
  <si>
    <t xml:space="preserve">0.4%(v/v) ammonia/methanol </t>
  </si>
  <si>
    <t>82% removal after 5 cycles</t>
  </si>
  <si>
    <t>Dual-functional metal-organic frameworks for adsorptive removal and ultra-trace quantitation of 50 per- and polyfluoroalkyl substances in water - ScienceDirect</t>
  </si>
  <si>
    <t>UiO-66-10</t>
  </si>
  <si>
    <t>UiO-66-25</t>
  </si>
  <si>
    <t>100-21-1</t>
  </si>
  <si>
    <t>UiO-66-NH2</t>
  </si>
  <si>
    <t>2-amino-1,4-benzenedicarboxylic acid</t>
  </si>
  <si>
    <t>SURKAT</t>
  </si>
  <si>
    <t>10312-55-7</t>
  </si>
  <si>
    <t>UiO-66-NO2</t>
  </si>
  <si>
    <t>2-nitroterephthalic acid</t>
  </si>
  <si>
    <t>SURKEX</t>
  </si>
  <si>
    <t>https://advanced.onlinelibrary.wiley.com/doi/full/10.1002/adma.202413121</t>
  </si>
  <si>
    <t>610-29-7</t>
  </si>
  <si>
    <t>UiO-66-F4</t>
  </si>
  <si>
    <t>2,3,5,6-tetrafluoroterephthalic acid</t>
  </si>
  <si>
    <t>66% removal after 5 cycles</t>
  </si>
  <si>
    <t>https://advanced.onlinelibrary.wiley.com/doi/full/10.1002/adma.202413122</t>
  </si>
  <si>
    <t>652-36-8</t>
  </si>
  <si>
    <t>UiO-67</t>
  </si>
  <si>
    <t>Biphenyl-4,4′-dicarboxylic acid</t>
  </si>
  <si>
    <t>WIZMAV</t>
  </si>
  <si>
    <t>1000 mg/L</t>
  </si>
  <si>
    <t>A fluorinated zirconium-based metal–organic framework as a platform for the capture and removal of perfluorinated pollutants from air and water - Journal of Materials Chemistry A (RSC Publishing)</t>
  </si>
  <si>
    <t>787-70-2</t>
  </si>
  <si>
    <t>UiO-67-F2</t>
  </si>
  <si>
    <t>Bifluorinated biphenyl dicarboxylic acid</t>
  </si>
  <si>
    <t>224960-60-5</t>
  </si>
  <si>
    <t>MOF-808</t>
  </si>
  <si>
    <t>Trimesic acid</t>
  </si>
  <si>
    <t>BOHWUS</t>
  </si>
  <si>
    <t>800 mg/L</t>
  </si>
  <si>
    <t>Chemically Tailored Metal‐Organic Frameworks for Enhanced Capture of Short‐ and Long‐Chain Per‐ and Polyfluoroalkyl Substances from Water - Loukopoulos - 2024 - Advanced Functional Materials - Wiley Online Library</t>
  </si>
  <si>
    <t>554-95-0</t>
  </si>
  <si>
    <t>PCN-999</t>
  </si>
  <si>
    <t>4′,4″′-(2,2-bis(4-carboxyphenyl)ethene-
1,1-diyl)bis(([1,1′-biphenyl]-4-carboxylic acid))</t>
  </si>
  <si>
    <t>LONGUU</t>
  </si>
  <si>
    <t>12 h</t>
  </si>
  <si>
    <t xml:space="preserve">methanol </t>
  </si>
  <si>
    <t>94% removal after 10 cycles</t>
  </si>
  <si>
    <t>Exceptionally High Perfluorooctanoic Acid Uptake in Water by a Zirconium-Based Metal–Organic Framework through Synergistic Chemical and Physical Adsorption | Journal of the American Chemical Society</t>
  </si>
  <si>
    <t>Synthetic ligand</t>
  </si>
  <si>
    <t>PCN-1002</t>
  </si>
  <si>
    <t>4′,4‴,4″‴,4′‴‴-(ethene-1,1,2,2-tetrayl)
tetrakis(3-hydroxy-[1,1′-biphenyl]−4-carboxylic acid)</t>
  </si>
  <si>
    <t>MUNJEO</t>
  </si>
  <si>
    <t>9 h</t>
  </si>
  <si>
    <t>methanol and formic acid</t>
  </si>
  <si>
    <t>90% removal after 5 cycles</t>
  </si>
  <si>
    <t>Zirconium‐Based Metal–Organic Frameworks with Free Hydroxy Groups for Enhanced Perfluorooctanoic Acid Uptake in Water - Liang - 2024 - Advanced Materials - Wiley Online Library</t>
  </si>
  <si>
    <t>DUT-67</t>
  </si>
  <si>
    <t xml:space="preserve">2,5-thiophenedicarboxylic acid </t>
  </si>
  <si>
    <t>FIJPAT</t>
  </si>
  <si>
    <t>500 mg/L</t>
  </si>
  <si>
    <t>4282-31-9</t>
  </si>
  <si>
    <t>NU-1000</t>
  </si>
  <si>
    <t>1,3,6,8-tetrakis(p-benzoic acid)pyrene</t>
  </si>
  <si>
    <t>FIFFUX</t>
  </si>
  <si>
    <t>87 μg/L</t>
  </si>
  <si>
    <t>30min</t>
  </si>
  <si>
    <t>30/70 v/v 0.1 M HCl/methanol</t>
  </si>
  <si>
    <t>96% removal after 5 cycles</t>
  </si>
  <si>
    <t>Efficient Removal of Per- and Polyfluoroalkyl Substances from Water with Zirconium-Based Metal–Organic Frameworks | Chemistry of Materials</t>
  </si>
  <si>
    <t>933047-52-0</t>
  </si>
  <si>
    <t>Al(III) MOFs</t>
  </si>
  <si>
    <t>MIL-53(Al)-as</t>
  </si>
  <si>
    <t>Al(III)</t>
  </si>
  <si>
    <t>HEJPAR</t>
  </si>
  <si>
    <t>60 mg/L</t>
  </si>
  <si>
    <t>4 h</t>
  </si>
  <si>
    <t>2mM NaOH</t>
  </si>
  <si>
    <t>Enhanced removal of perfluorooctanoic acid by aluminum-based metal–organic frameworks prepared by bauxite residue - ScienceDirect</t>
  </si>
  <si>
    <t>MIL-96(Al)</t>
  </si>
  <si>
    <t>WEVYEE</t>
  </si>
  <si>
    <t>MIL-100(Al)</t>
  </si>
  <si>
    <t>BUSPIP</t>
  </si>
  <si>
    <t>70.4% removal after 4 cycles</t>
  </si>
  <si>
    <t>DUT-5-2</t>
  </si>
  <si>
    <t>Biphenyl-4,4 -dicarboxylic acid</t>
  </si>
  <si>
    <t>30 mg/L</t>
  </si>
  <si>
    <t>10 h</t>
  </si>
  <si>
    <t xml:space="preserve">Methanol </t>
  </si>
  <si>
    <t>66.6% removal after 4 cycles</t>
  </si>
  <si>
    <t>Microwave synthesis of metal-organic frameworks absorbents (DUT-5-2) for the removal of PFOS and PFOA from aqueous solutions - ScienceDirect</t>
  </si>
  <si>
    <t>Cr(III) MOFs</t>
  </si>
  <si>
    <t>MIL-101(Cr)</t>
  </si>
  <si>
    <t>Cr(III)</t>
  </si>
  <si>
    <t>Terephthalic acid</t>
  </si>
  <si>
    <t>OCUNAC</t>
  </si>
  <si>
    <t>10 mg/L</t>
  </si>
  <si>
    <t>5% removal after 7 cycles</t>
  </si>
  <si>
    <t>Effectiveness of waste-derived MIL type MOFs in removing PFOA and PFAS pollutants for environmental remediation | Scientific Reports</t>
  </si>
  <si>
    <t>MIL-101(Cr)-NH2</t>
  </si>
  <si>
    <t>60 min</t>
  </si>
  <si>
    <t>Understanding the Adsorption of PFOA on MIL-101(Cr)-Based Anionic-Exchange Metal–Organic Frameworks: Comparing DFT Calculations with Aqueous Sorption Experiments | Environmental Science &amp; Technology</t>
  </si>
  <si>
    <t>MIL-101(Cr)-QDMEN</t>
  </si>
  <si>
    <t>90% removal after 3 cycles</t>
  </si>
  <si>
    <t>MIL-101(Cr)-DMEN</t>
  </si>
  <si>
    <t>MIL-101(Cr)-NMe3</t>
  </si>
  <si>
    <t>Fe(III) MOFs</t>
  </si>
  <si>
    <t>MIL-100 (Fe)</t>
  </si>
  <si>
    <t>Fe(III)</t>
  </si>
  <si>
    <t>CIGXIA</t>
  </si>
  <si>
    <t>120 min</t>
  </si>
  <si>
    <t>Insights to perfluorooctanoic acid adsorption micro-mechanism over Fe-based metal organic frameworks: Combining computational calculation with response surface methodology - ScienceDirect</t>
  </si>
  <si>
    <t>MIL-101 (Fe)</t>
  </si>
  <si>
    <t>Zn(II) MOFs</t>
  </si>
  <si>
    <t>ZIF-7</t>
  </si>
  <si>
    <t>Zn(II)</t>
  </si>
  <si>
    <t>Benzimidazole</t>
  </si>
  <si>
    <t>QOVXAC</t>
  </si>
  <si>
    <t>207 mg/L</t>
  </si>
  <si>
    <t>Influence of crystal topology and interior surface functionality of metal-organic frameworks on PFOA sorption performance - ScienceDirect</t>
  </si>
  <si>
    <t>51-17-2</t>
  </si>
  <si>
    <t>ZIF-8</t>
  </si>
  <si>
    <t>2-methylimidazole</t>
  </si>
  <si>
    <t>CUBYAD</t>
  </si>
  <si>
    <t>693-98-1</t>
  </si>
  <si>
    <t>ZIF-8A-61%</t>
  </si>
  <si>
    <t>0.4%(v/v) ammonia/methanol</t>
  </si>
  <si>
    <t>https://www.sciencedirect.com/science/article/pii/S030438942501595X#sec0050</t>
  </si>
  <si>
    <t>ZIF-8A-SO3H</t>
  </si>
  <si>
    <t>ZIF-L</t>
  </si>
  <si>
    <t>IWOZOL</t>
  </si>
  <si>
    <t>Ni(II) MOFs</t>
  </si>
  <si>
    <t>NiL1-F</t>
  </si>
  <si>
    <t>Ni(II)</t>
  </si>
  <si>
    <t>Boc2L1-F</t>
  </si>
  <si>
    <t>1 mg/L</t>
  </si>
  <si>
    <t>methanol</t>
  </si>
  <si>
    <t>82% removal after 4 cycles</t>
  </si>
  <si>
    <t>https://pubs.acs.org/doi/10.1021/acsami.3c07568?src=getftr&amp;utm_source=wiley&amp;getft_integrator=wiley</t>
  </si>
  <si>
    <t>NiL1-CCH</t>
  </si>
  <si>
    <t>Boc2L1-CCH</t>
  </si>
  <si>
    <t>2 mg/L</t>
  </si>
  <si>
    <t>Cu(II) MOFs</t>
  </si>
  <si>
    <t xml:space="preserve">	HKUST-1</t>
  </si>
  <si>
    <t>Cu(II)</t>
  </si>
  <si>
    <t>FIQCEN</t>
  </si>
  <si>
    <t>Ag(I) MOFs</t>
  </si>
  <si>
    <t>Ag-MOF-COOH</t>
  </si>
  <si>
    <t>Ag (I)</t>
  </si>
  <si>
    <t>4, 4′-Bipyridine+1,2,3-benzenetricarboxylic acid</t>
  </si>
  <si>
    <t>100 mg/L</t>
  </si>
  <si>
    <t>1 h</t>
  </si>
  <si>
    <t>67% removal after 5 cycles</t>
  </si>
  <si>
    <t>Functional group modified 1D interpenetrated metal-organic frameworks on perfluorooctanoic acid adsorption: Experimental and theoretical calculation study - ScienceDirect</t>
  </si>
  <si>
    <t>553-26-4+732304-21-1</t>
  </si>
  <si>
    <t>Ag-MOF-OH</t>
  </si>
  <si>
    <t>4, 4′-Bipyridine+5-hydroxyisophthalic acid</t>
  </si>
  <si>
    <t>77% removal after 5 cycles</t>
  </si>
  <si>
    <t>553-26-4+ 
618-83-7</t>
  </si>
  <si>
    <t>Ag-MOF-NH2</t>
  </si>
  <si>
    <t>4, 4′-Bipyridine+2-aminoisophthalic acid</t>
  </si>
  <si>
    <t>553-26-4+ 39622-79-2</t>
  </si>
  <si>
    <t>Ce(III) MOFs</t>
  </si>
  <si>
    <t>Ce-BTC</t>
  </si>
  <si>
    <t>Ce(III)</t>
  </si>
  <si>
    <t>Mn(II) MOFs</t>
  </si>
  <si>
    <t>Mn-BTC</t>
  </si>
  <si>
    <t>Mn(II)</t>
  </si>
  <si>
    <t>N/A: not applicable; N/M: not mentioned.</t>
  </si>
  <si>
    <t>PFOA adsoption kinetics (time to attain saturation /equilibrium loading)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</si>
</sst>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sz val="11"/>
      <color rgb="FF000000"/>
      <name val="Arial"/>
    </font>
    <font>
      <sz val="11"/>
      <color theme="1"/>
      <name val="Arial"/>
    </font>
    <font>
      <b/>
      <sz val="11"/>
      <color theme="0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Arial"/>
      <charset val="1"/>
    </font>
    <font>
      <sz val="11"/>
      <color rgb="FF000000"/>
      <name val="Aptos Narrow"/>
      <charset val="1"/>
    </font>
    <font>
      <sz val="11"/>
      <color rgb="FF151515"/>
      <name val="Roboto"/>
      <charset val="1"/>
    </font>
    <font>
      <sz val="11"/>
      <color rgb="FF1F1F1F"/>
      <name val="Arial"/>
    </font>
    <font>
      <sz val="11"/>
      <color rgb="FF1F1F1F"/>
      <name val="Arial"/>
      <charset val="1"/>
    </font>
    <font>
      <sz val="12"/>
      <color rgb="FF1F1F1F"/>
      <name val="Arial"/>
    </font>
    <font>
      <b/>
      <sz val="16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charset val="1"/>
    </font>
    <font>
      <b/>
      <sz val="14"/>
      <color theme="1"/>
      <name val="Arial"/>
      <family val="2"/>
    </font>
    <font>
      <b/>
      <sz val="14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E2DDC2"/>
        <bgColor indexed="64"/>
      </patternFill>
    </fill>
    <fill>
      <patternFill patternType="solid">
        <fgColor rgb="FFE3FCA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0" borderId="0" applyNumberForma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5" fillId="3" borderId="0" xfId="2" applyFont="1" applyAlignment="1">
      <alignment horizontal="left" vertical="top"/>
    </xf>
    <xf numFmtId="0" fontId="1" fillId="5" borderId="0" xfId="3" applyAlignment="1">
      <alignment horizontal="left" vertical="top"/>
    </xf>
    <xf numFmtId="0" fontId="1" fillId="0" borderId="0" xfId="3" applyFill="1" applyAlignment="1">
      <alignment horizontal="left" vertical="top"/>
    </xf>
    <xf numFmtId="0" fontId="1" fillId="6" borderId="0" xfId="3" applyFill="1" applyAlignment="1">
      <alignment horizontal="left" vertical="top"/>
    </xf>
    <xf numFmtId="0" fontId="1" fillId="7" borderId="0" xfId="3" applyFill="1" applyAlignment="1">
      <alignment horizontal="left" vertical="top"/>
    </xf>
    <xf numFmtId="0" fontId="1" fillId="8" borderId="0" xfId="3" applyFill="1" applyAlignment="1">
      <alignment horizontal="left" vertical="top"/>
    </xf>
    <xf numFmtId="0" fontId="1" fillId="9" borderId="0" xfId="3" applyFill="1" applyAlignment="1">
      <alignment horizontal="left" vertical="top"/>
    </xf>
    <xf numFmtId="0" fontId="1" fillId="10" borderId="0" xfId="3" applyFill="1" applyAlignment="1">
      <alignment horizontal="left" vertical="top"/>
    </xf>
    <xf numFmtId="0" fontId="1" fillId="11" borderId="0" xfId="3" applyFill="1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9" fillId="0" borderId="0" xfId="4" applyAlignment="1">
      <alignment horizontal="left" vertical="top" wrapText="1"/>
    </xf>
    <xf numFmtId="9" fontId="6" fillId="0" borderId="0" xfId="0" applyNumberFormat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9" fontId="0" fillId="0" borderId="0" xfId="0" applyNumberForma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5" fillId="3" borderId="0" xfId="2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" fillId="5" borderId="0" xfId="3" applyAlignment="1">
      <alignment horizontal="left" vertical="top" wrapText="1"/>
    </xf>
    <xf numFmtId="0" fontId="1" fillId="6" borderId="0" xfId="3" applyFill="1" applyAlignment="1">
      <alignment horizontal="left" vertical="top" wrapText="1"/>
    </xf>
    <xf numFmtId="0" fontId="1" fillId="7" borderId="0" xfId="3" applyFill="1" applyAlignment="1">
      <alignment horizontal="left" vertical="top" wrapText="1"/>
    </xf>
    <xf numFmtId="0" fontId="1" fillId="8" borderId="0" xfId="3" applyFill="1" applyAlignment="1">
      <alignment horizontal="left" vertical="top" wrapText="1"/>
    </xf>
    <xf numFmtId="0" fontId="1" fillId="9" borderId="0" xfId="3" applyFill="1" applyAlignment="1">
      <alignment horizontal="left" vertical="top" wrapText="1"/>
    </xf>
    <xf numFmtId="0" fontId="3" fillId="0" borderId="0" xfId="3" applyFont="1" applyFill="1" applyAlignment="1">
      <alignment horizontal="left" vertical="top" wrapText="1"/>
    </xf>
    <xf numFmtId="0" fontId="1" fillId="10" borderId="0" xfId="3" applyFill="1" applyAlignment="1">
      <alignment horizontal="left" vertical="top" wrapText="1"/>
    </xf>
    <xf numFmtId="0" fontId="1" fillId="11" borderId="0" xfId="3" applyFill="1" applyAlignment="1">
      <alignment horizontal="left" vertical="top" wrapText="1"/>
    </xf>
    <xf numFmtId="0" fontId="3" fillId="0" borderId="0" xfId="3" applyFont="1" applyFill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9" fillId="0" borderId="0" xfId="4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15" borderId="0" xfId="0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15" borderId="0" xfId="0" applyFont="1" applyFill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15" borderId="0" xfId="0" applyFont="1" applyFill="1" applyAlignment="1">
      <alignment horizontal="left" vertical="center" wrapText="1"/>
    </xf>
    <xf numFmtId="0" fontId="3" fillId="14" borderId="0" xfId="0" applyFont="1" applyFill="1" applyAlignment="1">
      <alignment horizontal="left" vertical="center" wrapText="1"/>
    </xf>
    <xf numFmtId="0" fontId="3" fillId="12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3" fillId="11" borderId="0" xfId="0" applyFont="1" applyFill="1" applyAlignment="1">
      <alignment horizontal="left" vertical="center" wrapText="1"/>
    </xf>
    <xf numFmtId="0" fontId="3" fillId="13" borderId="0" xfId="0" applyFont="1" applyFill="1" applyAlignment="1">
      <alignment horizontal="left" vertical="center" wrapText="1"/>
    </xf>
    <xf numFmtId="0" fontId="7" fillId="15" borderId="0" xfId="0" applyFont="1" applyFill="1" applyAlignment="1">
      <alignment horizontal="left" vertical="center" wrapText="1"/>
    </xf>
    <xf numFmtId="0" fontId="0" fillId="12" borderId="0" xfId="0" applyFill="1" applyAlignment="1">
      <alignment horizontal="left" vertical="center" wrapText="1"/>
    </xf>
    <xf numFmtId="0" fontId="0" fillId="14" borderId="0" xfId="0" applyFill="1" applyAlignment="1">
      <alignment horizontal="left" vertical="center" wrapText="1"/>
    </xf>
    <xf numFmtId="0" fontId="7" fillId="12" borderId="0" xfId="0" applyFont="1" applyFill="1" applyAlignment="1">
      <alignment horizontal="left" vertical="center" wrapText="1"/>
    </xf>
    <xf numFmtId="0" fontId="7" fillId="11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7" fillId="13" borderId="0" xfId="0" applyFont="1" applyFill="1" applyAlignment="1">
      <alignment horizontal="left" vertical="center" wrapText="1"/>
    </xf>
    <xf numFmtId="0" fontId="7" fillId="14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0" fillId="11" borderId="0" xfId="0" applyFill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3" fillId="15" borderId="0" xfId="3" applyFont="1" applyFill="1" applyAlignment="1">
      <alignment horizontal="left" vertical="center" wrapText="1"/>
    </xf>
    <xf numFmtId="0" fontId="3" fillId="11" borderId="0" xfId="3" applyFont="1" applyFill="1" applyAlignment="1">
      <alignment horizontal="left" vertical="center" wrapText="1"/>
    </xf>
    <xf numFmtId="0" fontId="3" fillId="13" borderId="0" xfId="3" applyFont="1" applyFill="1" applyAlignment="1">
      <alignment horizontal="left" vertical="center" wrapText="1"/>
    </xf>
    <xf numFmtId="0" fontId="7" fillId="0" borderId="0" xfId="3" applyFont="1" applyFill="1" applyAlignment="1">
      <alignment horizontal="left" vertical="center" wrapText="1"/>
    </xf>
    <xf numFmtId="0" fontId="3" fillId="12" borderId="0" xfId="3" applyFont="1" applyFill="1" applyAlignment="1">
      <alignment horizontal="left" vertical="center" wrapText="1"/>
    </xf>
    <xf numFmtId="0" fontId="7" fillId="0" borderId="0" xfId="3" applyFont="1" applyFill="1" applyAlignment="1">
      <alignment horizontal="left" vertic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8" fillId="11" borderId="0" xfId="3" applyFont="1" applyFill="1" applyAlignment="1">
      <alignment horizontal="left" vertical="top" wrapText="1"/>
    </xf>
    <xf numFmtId="0" fontId="5" fillId="11" borderId="0" xfId="3" applyFont="1" applyFill="1" applyAlignment="1">
      <alignment horizontal="left" vertical="top" wrapText="1"/>
    </xf>
    <xf numFmtId="0" fontId="5" fillId="6" borderId="0" xfId="3" applyFont="1" applyFill="1" applyAlignment="1">
      <alignment horizontal="left" vertical="top" wrapText="1"/>
    </xf>
    <xf numFmtId="0" fontId="5" fillId="7" borderId="0" xfId="3" applyFont="1" applyFill="1" applyAlignment="1">
      <alignment horizontal="left" vertical="top" wrapText="1"/>
    </xf>
    <xf numFmtId="0" fontId="5" fillId="8" borderId="0" xfId="3" applyFont="1" applyFill="1" applyAlignment="1">
      <alignment horizontal="left" vertical="top" wrapText="1"/>
    </xf>
    <xf numFmtId="0" fontId="5" fillId="9" borderId="0" xfId="3" applyFont="1" applyFill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0" fontId="5" fillId="3" borderId="0" xfId="2" applyFont="1" applyAlignment="1">
      <alignment horizontal="left" vertical="top" wrapText="1"/>
    </xf>
    <xf numFmtId="0" fontId="5" fillId="2" borderId="0" xfId="1" applyFont="1" applyAlignment="1">
      <alignment horizontal="left" vertical="top" wrapText="1"/>
    </xf>
    <xf numFmtId="0" fontId="5" fillId="5" borderId="0" xfId="3" applyFont="1" applyAlignment="1">
      <alignment horizontal="left" vertical="top" wrapText="1"/>
    </xf>
    <xf numFmtId="0" fontId="8" fillId="10" borderId="0" xfId="3" applyFont="1" applyFill="1" applyAlignment="1">
      <alignment horizontal="left" vertical="top" wrapText="1"/>
    </xf>
    <xf numFmtId="0" fontId="5" fillId="10" borderId="0" xfId="3" applyFont="1" applyFill="1" applyAlignment="1">
      <alignment horizontal="left" vertical="top" wrapText="1"/>
    </xf>
  </cellXfs>
  <cellStyles count="5">
    <cellStyle name="20% - Accent2" xfId="1" builtinId="34"/>
    <cellStyle name="20% - Accent3" xfId="2" builtinId="38"/>
    <cellStyle name="20% - Accent5" xfId="3" builtinId="46"/>
    <cellStyle name="Hyperlink" xfId="4" builtinId="8"/>
    <cellStyle name="Normal" xfId="0" builtinId="0"/>
  </cellStyles>
  <dxfs count="0"/>
  <tableStyles count="0" defaultTableStyle="TableStyleMedium2" defaultPivotStyle="PivotStyleLight16"/>
  <colors>
    <mruColors>
      <color rgb="FFFF7C80"/>
      <color rgb="FFE2DDC2"/>
      <color rgb="FF33CCCC"/>
      <color rgb="FF0000CC"/>
      <color rgb="FFFFFF66"/>
      <color rgb="FFE3FC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ubs.rsc.org/en/content/articlelanding/2025/ta/d4ta06167e" TargetMode="External"/><Relationship Id="rId13" Type="http://schemas.openxmlformats.org/officeDocument/2006/relationships/hyperlink" Target="https://advanced.onlinelibrary.wiley.com/doi/full/10.1002/adma.202407194" TargetMode="External"/><Relationship Id="rId18" Type="http://schemas.openxmlformats.org/officeDocument/2006/relationships/hyperlink" Target="https://www.nature.com/articles/s41598-025-93854-0" TargetMode="External"/><Relationship Id="rId26" Type="http://schemas.openxmlformats.org/officeDocument/2006/relationships/hyperlink" Target="https://www.sciencedirect.com/science/article/pii/S138718111630381X?via%3Dihub" TargetMode="External"/><Relationship Id="rId3" Type="http://schemas.openxmlformats.org/officeDocument/2006/relationships/hyperlink" Target="https://advanced.onlinelibrary.wiley.com/doi/full/10.1002/adma.202413120" TargetMode="External"/><Relationship Id="rId21" Type="http://schemas.openxmlformats.org/officeDocument/2006/relationships/hyperlink" Target="https://pubs-acs-org.glucksman.idm.oclc.org/doi/10.1021/acs.est.5b00802" TargetMode="External"/><Relationship Id="rId34" Type="http://schemas.openxmlformats.org/officeDocument/2006/relationships/hyperlink" Target="https://www.sciencedirect.com/science/article/pii/S0304389420306750?via%3Dihub" TargetMode="External"/><Relationship Id="rId7" Type="http://schemas.openxmlformats.org/officeDocument/2006/relationships/hyperlink" Target="https://pubs.rsc.org/en/content/articlelanding/2025/ta/d4ta06167e" TargetMode="External"/><Relationship Id="rId12" Type="http://schemas.openxmlformats.org/officeDocument/2006/relationships/hyperlink" Target="https://pubs-acs-org.glucksman.idm.oclc.org/doi/full/10.1021/jacs.3c14487" TargetMode="External"/><Relationship Id="rId17" Type="http://schemas.openxmlformats.org/officeDocument/2006/relationships/hyperlink" Target="https://www.sciencedirect.com/science/article/pii/S1387181122000622?via%3Dihub" TargetMode="External"/><Relationship Id="rId25" Type="http://schemas.openxmlformats.org/officeDocument/2006/relationships/hyperlink" Target="https://www.sciencedirect.com/science/article/pii/S138718111630381X?via%3Dihub" TargetMode="External"/><Relationship Id="rId33" Type="http://schemas.openxmlformats.org/officeDocument/2006/relationships/hyperlink" Target="https://www.sciencedirect.com/science/article/pii/S0304389420306750?via%3Dihub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https://advanced.onlinelibrary.wiley.com/doi/full/10.1002/adma.202413120" TargetMode="External"/><Relationship Id="rId16" Type="http://schemas.openxmlformats.org/officeDocument/2006/relationships/hyperlink" Target="https://www.sciencedirect.com/science/article/pii/S0304389424032680" TargetMode="External"/><Relationship Id="rId20" Type="http://schemas.openxmlformats.org/officeDocument/2006/relationships/hyperlink" Target="https://pubs-acs-org.glucksman.idm.oclc.org/doi/10.1021/acs.est.5b00802" TargetMode="External"/><Relationship Id="rId29" Type="http://schemas.openxmlformats.org/officeDocument/2006/relationships/hyperlink" Target="https://www.sciencedirect.com/science/article/pii/S030438942501595X" TargetMode="External"/><Relationship Id="rId1" Type="http://schemas.openxmlformats.org/officeDocument/2006/relationships/hyperlink" Target="https://advanced.onlinelibrary.wiley.com/doi/full/10.1002/adma.202413120" TargetMode="External"/><Relationship Id="rId6" Type="http://schemas.openxmlformats.org/officeDocument/2006/relationships/hyperlink" Target="https://www.sciencedirect.com/science/article/pii/S030438942501595X" TargetMode="External"/><Relationship Id="rId11" Type="http://schemas.openxmlformats.org/officeDocument/2006/relationships/hyperlink" Target="https://pubs-acs-org.glucksman.idm.oclc.org/doi/10.1021/acs.chemmater.1c00324" TargetMode="External"/><Relationship Id="rId24" Type="http://schemas.openxmlformats.org/officeDocument/2006/relationships/hyperlink" Target="https://www.sciencedirect.com/science/article/pii/S0304389420306750?via%3Dihub" TargetMode="External"/><Relationship Id="rId32" Type="http://schemas.openxmlformats.org/officeDocument/2006/relationships/hyperlink" Target="https://www.sciencedirect.com/science/article/pii/S0304389420306750?via%3Dihub" TargetMode="External"/><Relationship Id="rId37" Type="http://schemas.openxmlformats.org/officeDocument/2006/relationships/hyperlink" Target="https://www.sciencedirect.com/science/article/pii/S0013935122004108" TargetMode="External"/><Relationship Id="rId5" Type="http://schemas.openxmlformats.org/officeDocument/2006/relationships/hyperlink" Target="https://www.sciencedirect.com/science/article/pii/S030438942501595X" TargetMode="External"/><Relationship Id="rId15" Type="http://schemas.openxmlformats.org/officeDocument/2006/relationships/hyperlink" Target="https://www.sciencedirect.com/science/article/pii/S0304389424032680" TargetMode="External"/><Relationship Id="rId23" Type="http://schemas.openxmlformats.org/officeDocument/2006/relationships/hyperlink" Target="https://www.sciencedirect.com/science/article/pii/S0304389420306750?via%3Dihub" TargetMode="External"/><Relationship Id="rId28" Type="http://schemas.openxmlformats.org/officeDocument/2006/relationships/hyperlink" Target="https://www.sciencedirect.com/science/article/pii/S030438942501595X" TargetMode="External"/><Relationship Id="rId36" Type="http://schemas.openxmlformats.org/officeDocument/2006/relationships/hyperlink" Target="https://www.sciencedirect.com/science/article/pii/S0013935122004108" TargetMode="External"/><Relationship Id="rId10" Type="http://schemas.openxmlformats.org/officeDocument/2006/relationships/hyperlink" Target="https://advanced.onlinelibrary.wiley.com/doi/full/10.1002/adfm.202409932" TargetMode="External"/><Relationship Id="rId19" Type="http://schemas.openxmlformats.org/officeDocument/2006/relationships/hyperlink" Target="https://pubs-acs-org.glucksman.idm.oclc.org/doi/10.1021/acs.est.5b00802" TargetMode="External"/><Relationship Id="rId31" Type="http://schemas.openxmlformats.org/officeDocument/2006/relationships/hyperlink" Target="https://pubs.acs.org/doi/10.1021/acsami.3c07568?src=getftr&amp;utm_source=wiley&amp;getft_integrator=wiley" TargetMode="External"/><Relationship Id="rId4" Type="http://schemas.openxmlformats.org/officeDocument/2006/relationships/hyperlink" Target="https://www.sciencedirect.com/science/article/pii/S030438942501595X" TargetMode="External"/><Relationship Id="rId9" Type="http://schemas.openxmlformats.org/officeDocument/2006/relationships/hyperlink" Target="https://advanced.onlinelibrary.wiley.com/doi/full/10.1002/adfm.202409932" TargetMode="External"/><Relationship Id="rId14" Type="http://schemas.openxmlformats.org/officeDocument/2006/relationships/hyperlink" Target="https://www.sciencedirect.com/science/article/pii/S0304389424032680" TargetMode="External"/><Relationship Id="rId22" Type="http://schemas.openxmlformats.org/officeDocument/2006/relationships/hyperlink" Target="https://pubs-acs-org.glucksman.idm.oclc.org/doi/10.1021/acs.est.5b00802" TargetMode="External"/><Relationship Id="rId27" Type="http://schemas.openxmlformats.org/officeDocument/2006/relationships/hyperlink" Target="https://www.sciencedirect.com/science/article/pii/S138718111630381X?via%3Dihub" TargetMode="External"/><Relationship Id="rId30" Type="http://schemas.openxmlformats.org/officeDocument/2006/relationships/hyperlink" Target="https://pubs.acs.org/doi/10.1021/acsami.3c07568?src=getftr&amp;utm_source=wiley&amp;getft_integrator=wiley" TargetMode="External"/><Relationship Id="rId35" Type="http://schemas.openxmlformats.org/officeDocument/2006/relationships/hyperlink" Target="https://www.sciencedirect.com/science/article/pii/S00139351220041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39C12-0297-412A-B66C-4A4E3762923E}">
  <dimension ref="A1:P57"/>
  <sheetViews>
    <sheetView tabSelected="1" zoomScale="70" zoomScaleNormal="70" workbookViewId="0">
      <selection activeCell="K2" sqref="K2"/>
    </sheetView>
  </sheetViews>
  <sheetFormatPr defaultColWidth="8.7265625" defaultRowHeight="14.5" x14ac:dyDescent="0.35"/>
  <cols>
    <col min="1" max="1" width="45.453125" style="38" bestFit="1" customWidth="1"/>
    <col min="2" max="2" width="45.453125" style="38" customWidth="1"/>
    <col min="3" max="3" width="9.453125" style="38" customWidth="1"/>
    <col min="4" max="4" width="47.54296875" style="38" customWidth="1"/>
    <col min="5" max="5" width="12.90625" style="13" customWidth="1"/>
    <col min="6" max="6" width="14.7265625" style="13" customWidth="1"/>
    <col min="7" max="7" width="12.26953125" style="13" customWidth="1"/>
    <col min="8" max="8" width="17.6328125" style="13" customWidth="1"/>
    <col min="9" max="9" width="4.54296875" style="38" customWidth="1"/>
    <col min="10" max="10" width="24.26953125" style="39" customWidth="1"/>
    <col min="11" max="11" width="26" style="38" bestFit="1" customWidth="1"/>
    <col min="12" max="12" width="25.81640625" style="38" bestFit="1" customWidth="1"/>
    <col min="13" max="13" width="27" style="13" bestFit="1" customWidth="1"/>
    <col min="14" max="14" width="26.7265625" style="13" bestFit="1" customWidth="1"/>
    <col min="15" max="15" width="177.81640625" style="13" bestFit="1" customWidth="1"/>
    <col min="16" max="16" width="24" style="13" bestFit="1" customWidth="1"/>
    <col min="17" max="16384" width="8.7265625" style="1"/>
  </cols>
  <sheetData>
    <row r="1" spans="1:16" ht="27.5" customHeight="1" x14ac:dyDescent="0.35">
      <c r="A1" s="37" t="s">
        <v>0</v>
      </c>
      <c r="B1" s="37"/>
    </row>
    <row r="2" spans="1:16" s="43" customFormat="1" ht="70" x14ac:dyDescent="0.35">
      <c r="A2" s="40" t="s">
        <v>1</v>
      </c>
      <c r="B2" s="40"/>
      <c r="C2" s="40" t="s">
        <v>2</v>
      </c>
      <c r="D2" s="40" t="s">
        <v>3</v>
      </c>
      <c r="E2" s="40" t="s">
        <v>4</v>
      </c>
      <c r="F2" s="40" t="s">
        <v>5</v>
      </c>
      <c r="G2" s="40" t="s">
        <v>6</v>
      </c>
      <c r="H2" s="40" t="s">
        <v>7</v>
      </c>
      <c r="I2" s="40" t="s">
        <v>8</v>
      </c>
      <c r="J2" s="41" t="s">
        <v>191</v>
      </c>
      <c r="K2" s="40" t="s">
        <v>9</v>
      </c>
      <c r="L2" s="42" t="s">
        <v>10</v>
      </c>
      <c r="M2" s="40" t="s">
        <v>11</v>
      </c>
      <c r="N2" s="40" t="s">
        <v>12</v>
      </c>
      <c r="O2" s="40" t="s">
        <v>13</v>
      </c>
      <c r="P2" s="40" t="s">
        <v>14</v>
      </c>
    </row>
    <row r="3" spans="1:16" s="2" customFormat="1" x14ac:dyDescent="0.35">
      <c r="A3" s="79" t="s">
        <v>15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44"/>
    </row>
    <row r="4" spans="1:16" ht="28" x14ac:dyDescent="0.35">
      <c r="A4" s="45" t="s">
        <v>16</v>
      </c>
      <c r="B4" s="45" t="str">
        <f>VLOOKUP(A4,'Zeo++'!$A$2:$A$24,1,FALSE)</f>
        <v>UiO-66</v>
      </c>
      <c r="C4" s="45" t="s">
        <v>17</v>
      </c>
      <c r="D4" s="45" t="s">
        <v>18</v>
      </c>
      <c r="E4" s="14" t="s">
        <v>19</v>
      </c>
      <c r="F4" s="14">
        <v>1018045</v>
      </c>
      <c r="G4" s="14">
        <v>0.4</v>
      </c>
      <c r="H4" s="14" t="s">
        <v>20</v>
      </c>
      <c r="I4" s="45">
        <v>6.5</v>
      </c>
      <c r="J4" s="46" t="s">
        <v>21</v>
      </c>
      <c r="K4" s="47" t="s">
        <v>22</v>
      </c>
      <c r="L4" s="48">
        <v>92</v>
      </c>
      <c r="M4" s="14" t="s">
        <v>23</v>
      </c>
      <c r="N4" s="14" t="s">
        <v>24</v>
      </c>
      <c r="O4" s="15" t="s">
        <v>25</v>
      </c>
      <c r="P4" s="44" t="s">
        <v>26</v>
      </c>
    </row>
    <row r="5" spans="1:16" x14ac:dyDescent="0.35">
      <c r="A5" s="45" t="s">
        <v>27</v>
      </c>
      <c r="B5" s="45" t="e">
        <f>VLOOKUP(A5,'Zeo++'!$A$2:$A$24,1,FALSE)</f>
        <v>#N/A</v>
      </c>
      <c r="C5" s="45" t="s">
        <v>17</v>
      </c>
      <c r="D5" s="45" t="s">
        <v>18</v>
      </c>
      <c r="E5" s="14" t="s">
        <v>28</v>
      </c>
      <c r="F5" s="14" t="s">
        <v>28</v>
      </c>
      <c r="G5" s="14">
        <v>1</v>
      </c>
      <c r="H5" s="14" t="s">
        <v>20</v>
      </c>
      <c r="I5" s="38">
        <v>4</v>
      </c>
      <c r="J5" s="46" t="s">
        <v>21</v>
      </c>
      <c r="K5" s="47" t="s">
        <v>22</v>
      </c>
      <c r="L5" s="48">
        <v>87</v>
      </c>
      <c r="M5" s="3" t="s">
        <v>29</v>
      </c>
      <c r="N5" s="16" t="s">
        <v>30</v>
      </c>
      <c r="O5" s="15" t="s">
        <v>31</v>
      </c>
      <c r="P5" s="44" t="s">
        <v>26</v>
      </c>
    </row>
    <row r="6" spans="1:16" x14ac:dyDescent="0.35">
      <c r="A6" s="45" t="s">
        <v>32</v>
      </c>
      <c r="B6" s="45" t="e">
        <f>VLOOKUP(A6,'Zeo++'!$A$2:$A$24,1,FALSE)</f>
        <v>#N/A</v>
      </c>
      <c r="C6" s="45" t="s">
        <v>17</v>
      </c>
      <c r="D6" s="45" t="s">
        <v>18</v>
      </c>
      <c r="E6" s="14" t="s">
        <v>28</v>
      </c>
      <c r="F6" s="14" t="s">
        <v>28</v>
      </c>
      <c r="G6" s="14">
        <v>1</v>
      </c>
      <c r="H6" s="14" t="s">
        <v>20</v>
      </c>
      <c r="I6" s="38">
        <v>4</v>
      </c>
      <c r="J6" s="46" t="s">
        <v>21</v>
      </c>
      <c r="K6" s="47" t="s">
        <v>22</v>
      </c>
      <c r="L6" s="48">
        <v>78</v>
      </c>
      <c r="M6" s="3" t="s">
        <v>29</v>
      </c>
      <c r="N6" s="3" t="s">
        <v>22</v>
      </c>
      <c r="O6" s="15" t="s">
        <v>31</v>
      </c>
      <c r="P6" s="44" t="s">
        <v>26</v>
      </c>
    </row>
    <row r="7" spans="1:16" x14ac:dyDescent="0.35">
      <c r="A7" s="45" t="s">
        <v>33</v>
      </c>
      <c r="B7" s="45" t="e">
        <f>VLOOKUP(A7,'Zeo++'!$A$2:$A$24,1,FALSE)</f>
        <v>#N/A</v>
      </c>
      <c r="C7" s="45" t="s">
        <v>17</v>
      </c>
      <c r="D7" s="45" t="s">
        <v>18</v>
      </c>
      <c r="E7" s="14" t="s">
        <v>28</v>
      </c>
      <c r="F7" s="14" t="s">
        <v>28</v>
      </c>
      <c r="G7" s="14">
        <v>1</v>
      </c>
      <c r="H7" s="14" t="s">
        <v>20</v>
      </c>
      <c r="I7" s="38">
        <v>4</v>
      </c>
      <c r="J7" s="46" t="s">
        <v>21</v>
      </c>
      <c r="K7" s="47" t="s">
        <v>22</v>
      </c>
      <c r="L7" s="48">
        <v>77</v>
      </c>
      <c r="M7" s="3" t="s">
        <v>29</v>
      </c>
      <c r="N7" s="3" t="s">
        <v>22</v>
      </c>
      <c r="O7" s="15" t="s">
        <v>31</v>
      </c>
      <c r="P7" s="44" t="s">
        <v>34</v>
      </c>
    </row>
    <row r="8" spans="1:16" ht="28" x14ac:dyDescent="0.35">
      <c r="A8" s="45" t="s">
        <v>35</v>
      </c>
      <c r="B8" s="45" t="str">
        <f>VLOOKUP(A8,'Zeo++'!$A$2:$A$24,1,FALSE)</f>
        <v>UiO-66-NH2</v>
      </c>
      <c r="C8" s="45" t="s">
        <v>17</v>
      </c>
      <c r="D8" s="49" t="s">
        <v>36</v>
      </c>
      <c r="E8" s="3" t="s">
        <v>37</v>
      </c>
      <c r="F8" s="3">
        <v>1405751</v>
      </c>
      <c r="G8" s="3">
        <v>0.4</v>
      </c>
      <c r="H8" s="3" t="s">
        <v>20</v>
      </c>
      <c r="I8" s="44">
        <v>6.5</v>
      </c>
      <c r="J8" s="46" t="s">
        <v>21</v>
      </c>
      <c r="K8" s="47" t="s">
        <v>22</v>
      </c>
      <c r="L8" s="50">
        <v>45</v>
      </c>
      <c r="M8" s="18" t="s">
        <v>23</v>
      </c>
      <c r="N8" s="3" t="s">
        <v>22</v>
      </c>
      <c r="O8" s="15" t="s">
        <v>25</v>
      </c>
      <c r="P8" s="44" t="s">
        <v>38</v>
      </c>
    </row>
    <row r="9" spans="1:16" ht="28" x14ac:dyDescent="0.35">
      <c r="A9" s="45" t="s">
        <v>39</v>
      </c>
      <c r="B9" s="45" t="e">
        <f>VLOOKUP(A9,'Zeo++'!$A$2:$A$24,1,FALSE)</f>
        <v>#N/A</v>
      </c>
      <c r="C9" s="45" t="s">
        <v>17</v>
      </c>
      <c r="D9" s="44" t="s">
        <v>40</v>
      </c>
      <c r="E9" s="3" t="s">
        <v>41</v>
      </c>
      <c r="F9" s="3">
        <v>1405752</v>
      </c>
      <c r="G9" s="3">
        <v>0.4</v>
      </c>
      <c r="H9" s="3" t="s">
        <v>20</v>
      </c>
      <c r="I9" s="44">
        <v>6.5</v>
      </c>
      <c r="J9" s="46" t="s">
        <v>21</v>
      </c>
      <c r="K9" s="47" t="s">
        <v>22</v>
      </c>
      <c r="L9" s="50">
        <v>41</v>
      </c>
      <c r="M9" s="18" t="s">
        <v>23</v>
      </c>
      <c r="N9" s="3" t="s">
        <v>22</v>
      </c>
      <c r="O9" s="15" t="s">
        <v>42</v>
      </c>
      <c r="P9" s="44" t="s">
        <v>43</v>
      </c>
    </row>
    <row r="10" spans="1:16" ht="28" x14ac:dyDescent="0.35">
      <c r="A10" s="45" t="s">
        <v>44</v>
      </c>
      <c r="B10" s="45" t="str">
        <f>VLOOKUP(A10,'Zeo++'!$A$2:$A$24,1,FALSE)</f>
        <v>UiO-66-F4</v>
      </c>
      <c r="C10" s="45" t="s">
        <v>17</v>
      </c>
      <c r="D10" s="44" t="s">
        <v>45</v>
      </c>
      <c r="E10" s="3" t="s">
        <v>28</v>
      </c>
      <c r="F10" s="3" t="s">
        <v>28</v>
      </c>
      <c r="G10" s="3">
        <v>0.4</v>
      </c>
      <c r="H10" s="3" t="s">
        <v>20</v>
      </c>
      <c r="I10" s="44">
        <v>6.5</v>
      </c>
      <c r="J10" s="46" t="s">
        <v>21</v>
      </c>
      <c r="K10" s="47" t="s">
        <v>22</v>
      </c>
      <c r="L10" s="51">
        <v>68</v>
      </c>
      <c r="M10" s="18" t="s">
        <v>23</v>
      </c>
      <c r="N10" s="3" t="s">
        <v>46</v>
      </c>
      <c r="O10" s="15" t="s">
        <v>47</v>
      </c>
      <c r="P10" s="44" t="s">
        <v>48</v>
      </c>
    </row>
    <row r="11" spans="1:16" x14ac:dyDescent="0.35">
      <c r="A11" s="45" t="s">
        <v>49</v>
      </c>
      <c r="B11" s="45" t="str">
        <f>VLOOKUP(A11,'Zeo++'!$A$2:$A$24,1,FALSE)</f>
        <v>UiO-67</v>
      </c>
      <c r="C11" s="45" t="s">
        <v>17</v>
      </c>
      <c r="D11" s="44" t="s">
        <v>50</v>
      </c>
      <c r="E11" s="3" t="s">
        <v>51</v>
      </c>
      <c r="F11" s="3">
        <v>960486</v>
      </c>
      <c r="G11" s="3">
        <v>1</v>
      </c>
      <c r="H11" s="3" t="s">
        <v>52</v>
      </c>
      <c r="I11" s="38">
        <v>3</v>
      </c>
      <c r="J11" s="52" t="s">
        <v>22</v>
      </c>
      <c r="K11" s="53">
        <v>872</v>
      </c>
      <c r="L11" s="54" t="s">
        <v>22</v>
      </c>
      <c r="M11" s="3" t="s">
        <v>22</v>
      </c>
      <c r="N11" s="13" t="s">
        <v>22</v>
      </c>
      <c r="O11" s="15" t="s">
        <v>53</v>
      </c>
      <c r="P11" s="44" t="s">
        <v>54</v>
      </c>
    </row>
    <row r="12" spans="1:16" x14ac:dyDescent="0.35">
      <c r="A12" s="45" t="s">
        <v>55</v>
      </c>
      <c r="B12" s="45" t="str">
        <f>VLOOKUP(A12,'Zeo++'!$A$2:$A$24,1,FALSE)</f>
        <v>UiO-67-F2</v>
      </c>
      <c r="C12" s="45" t="s">
        <v>17</v>
      </c>
      <c r="D12" s="44" t="s">
        <v>56</v>
      </c>
      <c r="E12" s="3" t="s">
        <v>28</v>
      </c>
      <c r="F12" s="3" t="s">
        <v>28</v>
      </c>
      <c r="G12" s="3">
        <v>1</v>
      </c>
      <c r="H12" s="3" t="s">
        <v>52</v>
      </c>
      <c r="I12" s="38">
        <v>3</v>
      </c>
      <c r="J12" s="52" t="s">
        <v>22</v>
      </c>
      <c r="K12" s="53">
        <v>928</v>
      </c>
      <c r="L12" s="54" t="s">
        <v>22</v>
      </c>
      <c r="M12" s="3" t="s">
        <v>22</v>
      </c>
      <c r="N12" s="13" t="s">
        <v>22</v>
      </c>
      <c r="O12" s="15" t="s">
        <v>53</v>
      </c>
      <c r="P12" s="44" t="s">
        <v>57</v>
      </c>
    </row>
    <row r="13" spans="1:16" ht="29" x14ac:dyDescent="0.35">
      <c r="A13" s="45" t="s">
        <v>58</v>
      </c>
      <c r="B13" s="45" t="str">
        <f>VLOOKUP(A13,'Zeo++'!$A$2:$A$24,1,FALSE)</f>
        <v>MOF-808</v>
      </c>
      <c r="C13" s="45" t="s">
        <v>17</v>
      </c>
      <c r="D13" s="44" t="s">
        <v>59</v>
      </c>
      <c r="E13" s="3" t="s">
        <v>60</v>
      </c>
      <c r="F13" s="3">
        <v>1002672</v>
      </c>
      <c r="G13" s="3">
        <v>1</v>
      </c>
      <c r="H13" s="3" t="s">
        <v>61</v>
      </c>
      <c r="I13" s="45" t="s">
        <v>22</v>
      </c>
      <c r="J13" s="52" t="s">
        <v>22</v>
      </c>
      <c r="K13" s="55">
        <v>986</v>
      </c>
      <c r="L13" s="56">
        <v>36</v>
      </c>
      <c r="M13" s="3" t="s">
        <v>22</v>
      </c>
      <c r="N13" s="13" t="s">
        <v>22</v>
      </c>
      <c r="O13" s="15" t="s">
        <v>62</v>
      </c>
      <c r="P13" s="44" t="s">
        <v>63</v>
      </c>
    </row>
    <row r="14" spans="1:16" ht="29" x14ac:dyDescent="0.35">
      <c r="A14" s="45" t="s">
        <v>64</v>
      </c>
      <c r="B14" s="45" t="str">
        <f>VLOOKUP(A14,'Zeo++'!$A$2:$A$24,1,FALSE)</f>
        <v>PCN-999</v>
      </c>
      <c r="C14" s="45" t="s">
        <v>17</v>
      </c>
      <c r="D14" s="57" t="s">
        <v>65</v>
      </c>
      <c r="E14" s="3" t="s">
        <v>66</v>
      </c>
      <c r="F14" s="3">
        <v>2304331</v>
      </c>
      <c r="G14" s="3">
        <v>1</v>
      </c>
      <c r="H14" s="17" t="s">
        <v>52</v>
      </c>
      <c r="I14" s="45" t="s">
        <v>22</v>
      </c>
      <c r="J14" s="52" t="s">
        <v>67</v>
      </c>
      <c r="K14" s="58">
        <v>764</v>
      </c>
      <c r="L14" s="55">
        <v>99</v>
      </c>
      <c r="M14" s="3" t="s">
        <v>68</v>
      </c>
      <c r="N14" s="19" t="s">
        <v>69</v>
      </c>
      <c r="O14" s="15" t="s">
        <v>70</v>
      </c>
      <c r="P14" s="49" t="s">
        <v>71</v>
      </c>
    </row>
    <row r="15" spans="1:16" ht="28" x14ac:dyDescent="0.35">
      <c r="A15" s="45" t="s">
        <v>72</v>
      </c>
      <c r="B15" s="45" t="str">
        <f>VLOOKUP(A15,'Zeo++'!$A$2:$A$24,1,FALSE)</f>
        <v>PCN-1002</v>
      </c>
      <c r="C15" s="45" t="s">
        <v>17</v>
      </c>
      <c r="D15" s="44" t="s">
        <v>73</v>
      </c>
      <c r="E15" s="3" t="s">
        <v>74</v>
      </c>
      <c r="F15" s="3">
        <v>2322790</v>
      </c>
      <c r="G15" s="3">
        <v>1</v>
      </c>
      <c r="H15" s="17" t="s">
        <v>52</v>
      </c>
      <c r="I15" s="45" t="s">
        <v>22</v>
      </c>
      <c r="J15" s="52" t="s">
        <v>75</v>
      </c>
      <c r="K15" s="58">
        <v>632</v>
      </c>
      <c r="L15" s="55">
        <v>81</v>
      </c>
      <c r="M15" s="3" t="s">
        <v>76</v>
      </c>
      <c r="N15" s="20" t="s">
        <v>77</v>
      </c>
      <c r="O15" s="15" t="s">
        <v>78</v>
      </c>
      <c r="P15" s="44" t="s">
        <v>71</v>
      </c>
    </row>
    <row r="16" spans="1:16" ht="29" x14ac:dyDescent="0.35">
      <c r="A16" s="45" t="s">
        <v>79</v>
      </c>
      <c r="B16" s="45" t="str">
        <f>VLOOKUP(A16,'Zeo++'!$A$2:$A$24,1,FALSE)</f>
        <v>DUT-67</v>
      </c>
      <c r="C16" s="45" t="s">
        <v>17</v>
      </c>
      <c r="D16" s="44" t="s">
        <v>80</v>
      </c>
      <c r="E16" s="3" t="s">
        <v>81</v>
      </c>
      <c r="F16" s="3">
        <v>2255747</v>
      </c>
      <c r="G16" s="3">
        <v>1</v>
      </c>
      <c r="H16" s="3" t="s">
        <v>82</v>
      </c>
      <c r="I16" s="45" t="s">
        <v>22</v>
      </c>
      <c r="J16" s="52" t="s">
        <v>22</v>
      </c>
      <c r="K16" s="56">
        <v>382.5</v>
      </c>
      <c r="L16" s="56">
        <v>28</v>
      </c>
      <c r="M16" s="3" t="s">
        <v>22</v>
      </c>
      <c r="N16" s="13" t="s">
        <v>22</v>
      </c>
      <c r="O16" s="15" t="s">
        <v>62</v>
      </c>
      <c r="P16" s="44" t="s">
        <v>83</v>
      </c>
    </row>
    <row r="17" spans="1:16" x14ac:dyDescent="0.35">
      <c r="A17" s="45" t="s">
        <v>84</v>
      </c>
      <c r="B17" s="45" t="str">
        <f>VLOOKUP(A17,'Zeo++'!$A$2:$A$24,1,FALSE)</f>
        <v>NU-1000</v>
      </c>
      <c r="C17" s="45" t="s">
        <v>17</v>
      </c>
      <c r="D17" s="44" t="s">
        <v>85</v>
      </c>
      <c r="E17" s="3" t="s">
        <v>86</v>
      </c>
      <c r="F17" s="3">
        <v>955328</v>
      </c>
      <c r="G17" s="3">
        <v>1</v>
      </c>
      <c r="H17" s="3" t="s">
        <v>87</v>
      </c>
      <c r="I17" s="45" t="s">
        <v>22</v>
      </c>
      <c r="J17" s="52" t="s">
        <v>88</v>
      </c>
      <c r="K17" s="58">
        <v>507</v>
      </c>
      <c r="L17" s="55">
        <v>98</v>
      </c>
      <c r="M17" s="3" t="s">
        <v>89</v>
      </c>
      <c r="N17" s="13" t="s">
        <v>90</v>
      </c>
      <c r="O17" s="15" t="s">
        <v>91</v>
      </c>
      <c r="P17" s="44" t="s">
        <v>92</v>
      </c>
    </row>
    <row r="18" spans="1:16" s="4" customFormat="1" ht="14" x14ac:dyDescent="0.35">
      <c r="A18" s="80" t="s">
        <v>93</v>
      </c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21"/>
    </row>
    <row r="19" spans="1:16" x14ac:dyDescent="0.35">
      <c r="A19" s="45" t="s">
        <v>94</v>
      </c>
      <c r="B19" s="45" t="str">
        <f>VLOOKUP(A19,'Zeo++'!$A$2:$A$24,1,FALSE)</f>
        <v>MIL-53(Al)-as</v>
      </c>
      <c r="C19" s="44" t="s">
        <v>95</v>
      </c>
      <c r="D19" s="34" t="s">
        <v>18</v>
      </c>
      <c r="E19" s="3" t="s">
        <v>96</v>
      </c>
      <c r="F19" s="22">
        <v>2179625</v>
      </c>
      <c r="G19" s="3">
        <v>0.5</v>
      </c>
      <c r="H19" s="18" t="s">
        <v>97</v>
      </c>
      <c r="I19" s="44">
        <v>7</v>
      </c>
      <c r="J19" s="52" t="s">
        <v>98</v>
      </c>
      <c r="K19" s="56">
        <v>4.9000000000000004</v>
      </c>
      <c r="L19" s="59" t="s">
        <v>22</v>
      </c>
      <c r="M19" s="3" t="s">
        <v>99</v>
      </c>
      <c r="N19" s="17" t="s">
        <v>22</v>
      </c>
      <c r="O19" s="15" t="s">
        <v>100</v>
      </c>
      <c r="P19" s="44" t="s">
        <v>26</v>
      </c>
    </row>
    <row r="20" spans="1:16" ht="15.5" x14ac:dyDescent="0.35">
      <c r="A20" s="45" t="s">
        <v>101</v>
      </c>
      <c r="B20" s="45" t="str">
        <f>VLOOKUP(A20,'Zeo++'!$A$2:$A$24,1,FALSE)</f>
        <v>MIL-96(Al)</v>
      </c>
      <c r="C20" s="44" t="s">
        <v>95</v>
      </c>
      <c r="D20" s="34" t="s">
        <v>59</v>
      </c>
      <c r="E20" s="3" t="s">
        <v>102</v>
      </c>
      <c r="F20" s="23">
        <v>1558833</v>
      </c>
      <c r="G20" s="3">
        <v>0.5</v>
      </c>
      <c r="H20" s="3" t="s">
        <v>97</v>
      </c>
      <c r="I20" s="44">
        <v>7</v>
      </c>
      <c r="J20" s="52" t="s">
        <v>98</v>
      </c>
      <c r="K20" s="56">
        <v>30.64</v>
      </c>
      <c r="L20" s="59" t="s">
        <v>22</v>
      </c>
      <c r="M20" s="3" t="s">
        <v>99</v>
      </c>
      <c r="N20" s="17" t="s">
        <v>22</v>
      </c>
      <c r="O20" s="15" t="s">
        <v>100</v>
      </c>
      <c r="P20" s="44" t="s">
        <v>63</v>
      </c>
    </row>
    <row r="21" spans="1:16" x14ac:dyDescent="0.35">
      <c r="A21" s="45" t="s">
        <v>103</v>
      </c>
      <c r="B21" s="45" t="str">
        <f>VLOOKUP(A21,'Zeo++'!$A$2:$A$24,1,FALSE)</f>
        <v>MIL-100(Al)</v>
      </c>
      <c r="C21" s="44" t="s">
        <v>95</v>
      </c>
      <c r="D21" s="34" t="s">
        <v>59</v>
      </c>
      <c r="E21" s="3" t="s">
        <v>104</v>
      </c>
      <c r="F21" s="3">
        <v>789872</v>
      </c>
      <c r="G21" s="3">
        <v>0.5</v>
      </c>
      <c r="H21" s="18" t="s">
        <v>97</v>
      </c>
      <c r="I21" s="44">
        <v>7</v>
      </c>
      <c r="J21" s="52" t="s">
        <v>98</v>
      </c>
      <c r="K21" s="56">
        <v>111.07</v>
      </c>
      <c r="L21" s="59" t="s">
        <v>22</v>
      </c>
      <c r="M21" s="3" t="s">
        <v>99</v>
      </c>
      <c r="N21" s="17" t="s">
        <v>105</v>
      </c>
      <c r="O21" s="15" t="s">
        <v>100</v>
      </c>
      <c r="P21" s="44" t="s">
        <v>63</v>
      </c>
    </row>
    <row r="22" spans="1:16" x14ac:dyDescent="0.35">
      <c r="A22" s="45" t="s">
        <v>106</v>
      </c>
      <c r="B22" s="45" t="e">
        <f>VLOOKUP(A22,'Zeo++'!$A$2:$A$24,1,FALSE)</f>
        <v>#N/A</v>
      </c>
      <c r="C22" s="44" t="s">
        <v>95</v>
      </c>
      <c r="D22" s="34" t="s">
        <v>107</v>
      </c>
      <c r="E22" s="3" t="s">
        <v>28</v>
      </c>
      <c r="F22" s="3" t="s">
        <v>28</v>
      </c>
      <c r="G22" s="3">
        <v>0.1</v>
      </c>
      <c r="H22" s="3" t="s">
        <v>108</v>
      </c>
      <c r="I22" s="44">
        <v>3</v>
      </c>
      <c r="J22" s="52" t="s">
        <v>109</v>
      </c>
      <c r="K22" s="58">
        <v>473.7</v>
      </c>
      <c r="L22" s="58">
        <v>60.9</v>
      </c>
      <c r="M22" s="3" t="s">
        <v>110</v>
      </c>
      <c r="N22" s="17" t="s">
        <v>111</v>
      </c>
      <c r="O22" s="15" t="s">
        <v>112</v>
      </c>
      <c r="P22" s="60" t="s">
        <v>54</v>
      </c>
    </row>
    <row r="23" spans="1:16" s="4" customFormat="1" ht="14" x14ac:dyDescent="0.35">
      <c r="A23" s="81" t="s">
        <v>113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21"/>
    </row>
    <row r="24" spans="1:16" x14ac:dyDescent="0.35">
      <c r="A24" s="45" t="s">
        <v>114</v>
      </c>
      <c r="B24" s="45" t="str">
        <f>VLOOKUP(A24,'Zeo++'!$A$2:$A$24,1,FALSE)</f>
        <v>MIL-101(Cr)</v>
      </c>
      <c r="C24" s="44" t="s">
        <v>115</v>
      </c>
      <c r="D24" s="33" t="s">
        <v>116</v>
      </c>
      <c r="E24" s="3" t="s">
        <v>117</v>
      </c>
      <c r="F24" s="3">
        <v>605510</v>
      </c>
      <c r="G24" s="3">
        <v>0.05</v>
      </c>
      <c r="H24" s="3" t="s">
        <v>118</v>
      </c>
      <c r="I24" s="38">
        <v>5</v>
      </c>
      <c r="J24" s="52" t="s">
        <v>21</v>
      </c>
      <c r="K24" s="56">
        <v>12.3</v>
      </c>
      <c r="L24" s="56">
        <v>13.4</v>
      </c>
      <c r="M24" s="13" t="s">
        <v>22</v>
      </c>
      <c r="N24" s="17" t="s">
        <v>119</v>
      </c>
      <c r="O24" s="15" t="s">
        <v>120</v>
      </c>
      <c r="P24" s="44" t="s">
        <v>26</v>
      </c>
    </row>
    <row r="25" spans="1:16" x14ac:dyDescent="0.35">
      <c r="A25" s="45" t="s">
        <v>121</v>
      </c>
      <c r="B25" s="45" t="str">
        <f>VLOOKUP(A25,'Zeo++'!$A$2:$A$24,1,FALSE)</f>
        <v>MIL-101(Cr)-NH2</v>
      </c>
      <c r="C25" s="44" t="s">
        <v>115</v>
      </c>
      <c r="D25" s="49" t="s">
        <v>36</v>
      </c>
      <c r="E25" s="3" t="s">
        <v>28</v>
      </c>
      <c r="F25" s="3" t="s">
        <v>28</v>
      </c>
      <c r="G25" s="3">
        <v>0.1</v>
      </c>
      <c r="H25" s="3" t="s">
        <v>52</v>
      </c>
      <c r="I25" s="38">
        <v>5</v>
      </c>
      <c r="J25" s="52" t="s">
        <v>122</v>
      </c>
      <c r="K25" s="56">
        <v>290</v>
      </c>
      <c r="L25" s="59" t="s">
        <v>22</v>
      </c>
      <c r="M25" s="13" t="s">
        <v>22</v>
      </c>
      <c r="N25" s="13" t="s">
        <v>22</v>
      </c>
      <c r="O25" s="15" t="s">
        <v>123</v>
      </c>
      <c r="P25" s="44" t="s">
        <v>38</v>
      </c>
    </row>
    <row r="26" spans="1:16" ht="28" x14ac:dyDescent="0.35">
      <c r="A26" s="45" t="s">
        <v>124</v>
      </c>
      <c r="B26" s="45" t="e">
        <f>VLOOKUP(A26,'Zeo++'!$A$2:$A$24,1,FALSE)</f>
        <v>#N/A</v>
      </c>
      <c r="C26" s="44" t="s">
        <v>115</v>
      </c>
      <c r="D26" s="61" t="s">
        <v>116</v>
      </c>
      <c r="E26" s="3" t="s">
        <v>28</v>
      </c>
      <c r="F26" s="3" t="s">
        <v>28</v>
      </c>
      <c r="G26" s="3">
        <v>0.1</v>
      </c>
      <c r="H26" s="3" t="s">
        <v>52</v>
      </c>
      <c r="I26" s="38">
        <v>5</v>
      </c>
      <c r="J26" s="52" t="s">
        <v>122</v>
      </c>
      <c r="K26" s="58">
        <v>754</v>
      </c>
      <c r="L26" s="59" t="s">
        <v>22</v>
      </c>
      <c r="M26" s="3" t="s">
        <v>23</v>
      </c>
      <c r="N26" s="17" t="s">
        <v>125</v>
      </c>
      <c r="O26" s="15" t="s">
        <v>123</v>
      </c>
      <c r="P26" s="44" t="s">
        <v>26</v>
      </c>
    </row>
    <row r="27" spans="1:16" x14ac:dyDescent="0.35">
      <c r="A27" s="45" t="s">
        <v>126</v>
      </c>
      <c r="B27" s="45" t="e">
        <f>VLOOKUP(A27,'Zeo++'!$A$2:$A$24,1,FALSE)</f>
        <v>#N/A</v>
      </c>
      <c r="C27" s="44" t="s">
        <v>115</v>
      </c>
      <c r="D27" s="61" t="s">
        <v>116</v>
      </c>
      <c r="E27" s="3" t="s">
        <v>28</v>
      </c>
      <c r="F27" s="3" t="s">
        <v>28</v>
      </c>
      <c r="G27" s="3">
        <v>0.1</v>
      </c>
      <c r="H27" s="3" t="s">
        <v>52</v>
      </c>
      <c r="I27" s="38">
        <v>5</v>
      </c>
      <c r="J27" s="52" t="s">
        <v>122</v>
      </c>
      <c r="K27" s="58">
        <v>534</v>
      </c>
      <c r="L27" s="59" t="s">
        <v>22</v>
      </c>
      <c r="M27" s="13" t="s">
        <v>22</v>
      </c>
      <c r="N27" s="13" t="s">
        <v>22</v>
      </c>
      <c r="O27" s="15" t="s">
        <v>123</v>
      </c>
      <c r="P27" s="44" t="s">
        <v>26</v>
      </c>
    </row>
    <row r="28" spans="1:16" x14ac:dyDescent="0.35">
      <c r="A28" s="45" t="s">
        <v>127</v>
      </c>
      <c r="B28" s="45" t="e">
        <f>VLOOKUP(A28,'Zeo++'!$A$2:$A$24,1,FALSE)</f>
        <v>#N/A</v>
      </c>
      <c r="C28" s="44" t="s">
        <v>115</v>
      </c>
      <c r="D28" s="61" t="s">
        <v>116</v>
      </c>
      <c r="E28" s="3" t="s">
        <v>28</v>
      </c>
      <c r="F28" s="3" t="s">
        <v>28</v>
      </c>
      <c r="G28" s="3">
        <v>0.1</v>
      </c>
      <c r="H28" s="3" t="s">
        <v>52</v>
      </c>
      <c r="I28" s="38">
        <v>5</v>
      </c>
      <c r="J28" s="52" t="s">
        <v>122</v>
      </c>
      <c r="K28" s="58">
        <v>493</v>
      </c>
      <c r="L28" s="59" t="s">
        <v>22</v>
      </c>
      <c r="M28" s="13" t="s">
        <v>22</v>
      </c>
      <c r="N28" s="13" t="s">
        <v>22</v>
      </c>
      <c r="O28" s="15" t="s">
        <v>123</v>
      </c>
      <c r="P28" s="44" t="s">
        <v>26</v>
      </c>
    </row>
    <row r="29" spans="1:16" s="5" customFormat="1" x14ac:dyDescent="0.35">
      <c r="A29" s="82" t="s">
        <v>128</v>
      </c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24"/>
    </row>
    <row r="30" spans="1:16" x14ac:dyDescent="0.35">
      <c r="A30" s="45" t="s">
        <v>129</v>
      </c>
      <c r="B30" s="45" t="str">
        <f>VLOOKUP(A30,'Zeo++'!$A$2:$A$24,1,FALSE)</f>
        <v>MIL-100 (Fe)</v>
      </c>
      <c r="C30" s="44" t="s">
        <v>130</v>
      </c>
      <c r="D30" s="34" t="s">
        <v>59</v>
      </c>
      <c r="E30" s="3" t="s">
        <v>131</v>
      </c>
      <c r="F30" s="3">
        <v>640536</v>
      </c>
      <c r="G30" s="3">
        <v>1</v>
      </c>
      <c r="H30" s="3" t="s">
        <v>52</v>
      </c>
      <c r="I30" s="44">
        <v>3.3</v>
      </c>
      <c r="J30" s="52" t="s">
        <v>132</v>
      </c>
      <c r="K30" s="58">
        <v>427</v>
      </c>
      <c r="L30" s="59" t="s">
        <v>22</v>
      </c>
      <c r="M30" s="3" t="s">
        <v>22</v>
      </c>
      <c r="N30" s="3" t="s">
        <v>22</v>
      </c>
      <c r="O30" s="15" t="s">
        <v>133</v>
      </c>
      <c r="P30" s="44" t="s">
        <v>63</v>
      </c>
    </row>
    <row r="31" spans="1:16" x14ac:dyDescent="0.35">
      <c r="A31" s="45" t="s">
        <v>134</v>
      </c>
      <c r="B31" s="45" t="str">
        <f>VLOOKUP(A31,'Zeo++'!$A$2:$A$24,1,FALSE)</f>
        <v>MIL-101 (Fe)</v>
      </c>
      <c r="C31" s="44" t="s">
        <v>130</v>
      </c>
      <c r="D31" s="61" t="s">
        <v>116</v>
      </c>
      <c r="E31" s="3" t="s">
        <v>117</v>
      </c>
      <c r="F31" s="3">
        <v>605510</v>
      </c>
      <c r="G31" s="3">
        <v>1</v>
      </c>
      <c r="H31" s="3" t="s">
        <v>52</v>
      </c>
      <c r="I31" s="44">
        <v>3.3</v>
      </c>
      <c r="J31" s="52" t="s">
        <v>132</v>
      </c>
      <c r="K31" s="58">
        <v>490</v>
      </c>
      <c r="L31" s="59" t="s">
        <v>22</v>
      </c>
      <c r="M31" s="3" t="s">
        <v>22</v>
      </c>
      <c r="N31" s="3" t="s">
        <v>22</v>
      </c>
      <c r="O31" s="15" t="s">
        <v>133</v>
      </c>
      <c r="P31" s="44" t="s">
        <v>26</v>
      </c>
    </row>
    <row r="32" spans="1:16" s="7" customFormat="1" x14ac:dyDescent="0.35">
      <c r="A32" s="75" t="s">
        <v>135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25"/>
    </row>
    <row r="33" spans="1:16" x14ac:dyDescent="0.35">
      <c r="A33" s="45" t="s">
        <v>136</v>
      </c>
      <c r="B33" s="45" t="str">
        <f>VLOOKUP(A33,'Zeo++'!$A$2:$A$24,1,FALSE)</f>
        <v>ZIF-7</v>
      </c>
      <c r="C33" s="44" t="s">
        <v>137</v>
      </c>
      <c r="D33" s="33" t="s">
        <v>138</v>
      </c>
      <c r="E33" s="3" t="s">
        <v>139</v>
      </c>
      <c r="F33" s="3">
        <v>1036075</v>
      </c>
      <c r="G33" s="3">
        <v>0.2</v>
      </c>
      <c r="H33" s="3" t="s">
        <v>140</v>
      </c>
      <c r="I33" s="44">
        <v>5</v>
      </c>
      <c r="J33" s="52" t="s">
        <v>122</v>
      </c>
      <c r="K33" s="56">
        <v>22</v>
      </c>
      <c r="L33" s="59" t="s">
        <v>22</v>
      </c>
      <c r="M33" s="3" t="s">
        <v>22</v>
      </c>
      <c r="N33" s="3" t="s">
        <v>22</v>
      </c>
      <c r="O33" s="15" t="s">
        <v>141</v>
      </c>
      <c r="P33" s="44" t="s">
        <v>142</v>
      </c>
    </row>
    <row r="34" spans="1:16" x14ac:dyDescent="0.35">
      <c r="A34" s="45" t="s">
        <v>143</v>
      </c>
      <c r="B34" s="45" t="str">
        <f>VLOOKUP(A34,'Zeo++'!$A$2:$A$24,1,FALSE)</f>
        <v>ZIF-8</v>
      </c>
      <c r="C34" s="44" t="s">
        <v>137</v>
      </c>
      <c r="D34" s="33" t="s">
        <v>144</v>
      </c>
      <c r="E34" s="3" t="s">
        <v>145</v>
      </c>
      <c r="F34" s="3">
        <v>2353474</v>
      </c>
      <c r="G34" s="3">
        <v>0.2</v>
      </c>
      <c r="H34" s="3" t="s">
        <v>140</v>
      </c>
      <c r="I34" s="44">
        <v>5</v>
      </c>
      <c r="J34" s="52" t="s">
        <v>122</v>
      </c>
      <c r="K34" s="56">
        <v>177</v>
      </c>
      <c r="L34" s="59" t="s">
        <v>22</v>
      </c>
      <c r="M34" s="3" t="s">
        <v>22</v>
      </c>
      <c r="N34" s="3" t="s">
        <v>22</v>
      </c>
      <c r="O34" s="15" t="s">
        <v>141</v>
      </c>
      <c r="P34" s="44" t="s">
        <v>146</v>
      </c>
    </row>
    <row r="35" spans="1:16" x14ac:dyDescent="0.35">
      <c r="A35" s="45" t="s">
        <v>147</v>
      </c>
      <c r="B35" s="45" t="e">
        <f>VLOOKUP(A35,'Zeo++'!$A$2:$A$24,1,FALSE)</f>
        <v>#N/A</v>
      </c>
      <c r="C35" s="44" t="s">
        <v>137</v>
      </c>
      <c r="D35" s="33" t="s">
        <v>144</v>
      </c>
      <c r="E35" s="3" t="s">
        <v>28</v>
      </c>
      <c r="F35" s="3" t="s">
        <v>28</v>
      </c>
      <c r="G35" s="3">
        <v>1</v>
      </c>
      <c r="H35" s="18" t="s">
        <v>20</v>
      </c>
      <c r="I35" s="44">
        <v>4</v>
      </c>
      <c r="J35" s="52" t="s">
        <v>21</v>
      </c>
      <c r="K35" s="59" t="s">
        <v>22</v>
      </c>
      <c r="L35" s="58">
        <v>77</v>
      </c>
      <c r="M35" s="18" t="s">
        <v>148</v>
      </c>
      <c r="N35" s="3" t="s">
        <v>22</v>
      </c>
      <c r="O35" s="15" t="s">
        <v>149</v>
      </c>
      <c r="P35" s="44" t="s">
        <v>146</v>
      </c>
    </row>
    <row r="36" spans="1:16" x14ac:dyDescent="0.35">
      <c r="A36" s="45" t="s">
        <v>150</v>
      </c>
      <c r="B36" s="45" t="e">
        <f>VLOOKUP(A36,'Zeo++'!$A$2:$A$24,1,FALSE)</f>
        <v>#N/A</v>
      </c>
      <c r="C36" s="44" t="s">
        <v>137</v>
      </c>
      <c r="D36" s="33" t="s">
        <v>144</v>
      </c>
      <c r="E36" s="3" t="s">
        <v>28</v>
      </c>
      <c r="F36" s="3" t="s">
        <v>28</v>
      </c>
      <c r="G36" s="3">
        <v>1</v>
      </c>
      <c r="H36" s="18" t="s">
        <v>20</v>
      </c>
      <c r="I36" s="44">
        <v>4</v>
      </c>
      <c r="J36" s="52" t="s">
        <v>21</v>
      </c>
      <c r="K36" s="59" t="s">
        <v>22</v>
      </c>
      <c r="L36" s="55">
        <v>85</v>
      </c>
      <c r="M36" s="18" t="s">
        <v>148</v>
      </c>
      <c r="N36" s="3" t="s">
        <v>22</v>
      </c>
      <c r="O36" s="15" t="s">
        <v>149</v>
      </c>
      <c r="P36" s="44" t="s">
        <v>146</v>
      </c>
    </row>
    <row r="37" spans="1:16" x14ac:dyDescent="0.35">
      <c r="A37" s="45" t="s">
        <v>151</v>
      </c>
      <c r="B37" s="45" t="str">
        <f>VLOOKUP(A37,'Zeo++'!$A$2:$A$24,1,FALSE)</f>
        <v>ZIF-L</v>
      </c>
      <c r="C37" s="44" t="s">
        <v>137</v>
      </c>
      <c r="D37" s="33" t="s">
        <v>144</v>
      </c>
      <c r="E37" s="3" t="s">
        <v>152</v>
      </c>
      <c r="F37" s="3">
        <v>1509273</v>
      </c>
      <c r="G37" s="3">
        <v>0.2</v>
      </c>
      <c r="H37" s="3" t="s">
        <v>140</v>
      </c>
      <c r="I37" s="44">
        <v>5</v>
      </c>
      <c r="J37" s="52" t="s">
        <v>122</v>
      </c>
      <c r="K37" s="56">
        <v>244</v>
      </c>
      <c r="L37" s="59" t="s">
        <v>22</v>
      </c>
      <c r="M37" s="3" t="s">
        <v>22</v>
      </c>
      <c r="N37" s="3" t="s">
        <v>22</v>
      </c>
      <c r="O37" s="15" t="s">
        <v>141</v>
      </c>
      <c r="P37" s="44" t="s">
        <v>146</v>
      </c>
    </row>
    <row r="38" spans="1:16" s="8" customFormat="1" x14ac:dyDescent="0.35">
      <c r="A38" s="76" t="s">
        <v>153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26"/>
    </row>
    <row r="39" spans="1:16" x14ac:dyDescent="0.35">
      <c r="A39" s="45" t="s">
        <v>154</v>
      </c>
      <c r="B39" s="45" t="e">
        <f>VLOOKUP(A39,'Zeo++'!$A$2:$A$24,1,FALSE)</f>
        <v>#N/A</v>
      </c>
      <c r="C39" s="34" t="s">
        <v>155</v>
      </c>
      <c r="D39" s="34" t="s">
        <v>156</v>
      </c>
      <c r="E39" s="3" t="s">
        <v>28</v>
      </c>
      <c r="F39" s="3" t="s">
        <v>28</v>
      </c>
      <c r="G39" s="3">
        <v>0.1</v>
      </c>
      <c r="H39" s="3" t="s">
        <v>157</v>
      </c>
      <c r="I39" s="44" t="s">
        <v>22</v>
      </c>
      <c r="J39" s="52" t="s">
        <v>67</v>
      </c>
      <c r="K39" s="62">
        <v>268.5</v>
      </c>
      <c r="L39" s="53">
        <v>90.1</v>
      </c>
      <c r="M39" s="3" t="s">
        <v>158</v>
      </c>
      <c r="N39" s="18" t="s">
        <v>159</v>
      </c>
      <c r="O39" s="15" t="s">
        <v>160</v>
      </c>
      <c r="P39" s="44" t="s">
        <v>71</v>
      </c>
    </row>
    <row r="40" spans="1:16" x14ac:dyDescent="0.35">
      <c r="A40" s="45" t="s">
        <v>161</v>
      </c>
      <c r="B40" s="45" t="e">
        <f>VLOOKUP(A40,'Zeo++'!$A$2:$A$24,1,FALSE)</f>
        <v>#N/A</v>
      </c>
      <c r="C40" s="34" t="s">
        <v>155</v>
      </c>
      <c r="D40" s="63" t="s">
        <v>162</v>
      </c>
      <c r="E40" s="3" t="s">
        <v>28</v>
      </c>
      <c r="F40" s="3" t="s">
        <v>28</v>
      </c>
      <c r="G40" s="3">
        <v>0.1</v>
      </c>
      <c r="H40" s="3" t="s">
        <v>163</v>
      </c>
      <c r="I40" s="44" t="s">
        <v>22</v>
      </c>
      <c r="J40" s="52" t="s">
        <v>67</v>
      </c>
      <c r="K40" s="62">
        <v>109.2</v>
      </c>
      <c r="L40" s="62">
        <v>40.200000000000003</v>
      </c>
      <c r="M40" s="3" t="s">
        <v>158</v>
      </c>
      <c r="N40" s="13" t="s">
        <v>22</v>
      </c>
      <c r="O40" s="15" t="s">
        <v>160</v>
      </c>
      <c r="P40" s="44" t="s">
        <v>71</v>
      </c>
    </row>
    <row r="41" spans="1:16" s="9" customFormat="1" x14ac:dyDescent="0.35">
      <c r="A41" s="77" t="s">
        <v>164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27"/>
    </row>
    <row r="42" spans="1:16" x14ac:dyDescent="0.35">
      <c r="A42" s="45" t="s">
        <v>165</v>
      </c>
      <c r="B42" s="45" t="str">
        <f>VLOOKUP(A42,'Zeo++'!$A$2:$A$24,1,FALSE)</f>
        <v xml:space="preserve">	HKUST-1</v>
      </c>
      <c r="C42" s="44" t="s">
        <v>166</v>
      </c>
      <c r="D42" s="34" t="s">
        <v>59</v>
      </c>
      <c r="E42" s="3" t="s">
        <v>167</v>
      </c>
      <c r="F42" s="3">
        <v>112954</v>
      </c>
      <c r="G42" s="3">
        <v>1</v>
      </c>
      <c r="H42" s="3" t="s">
        <v>52</v>
      </c>
      <c r="I42" s="44">
        <v>3.3</v>
      </c>
      <c r="J42" s="52" t="s">
        <v>22</v>
      </c>
      <c r="K42" s="56">
        <v>95</v>
      </c>
      <c r="L42" s="59" t="s">
        <v>22</v>
      </c>
      <c r="M42" s="3" t="s">
        <v>22</v>
      </c>
      <c r="N42" s="3" t="s">
        <v>22</v>
      </c>
      <c r="O42" s="15" t="s">
        <v>133</v>
      </c>
      <c r="P42" s="44" t="s">
        <v>63</v>
      </c>
    </row>
    <row r="43" spans="1:16" s="10" customFormat="1" x14ac:dyDescent="0.35">
      <c r="A43" s="78" t="s">
        <v>168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28"/>
    </row>
    <row r="44" spans="1:16" s="6" customFormat="1" x14ac:dyDescent="0.35">
      <c r="A44" s="32" t="s">
        <v>169</v>
      </c>
      <c r="B44" s="45" t="e">
        <f>VLOOKUP(A44,'Zeo++'!$A$2:$A$24,1,FALSE)</f>
        <v>#N/A</v>
      </c>
      <c r="C44" s="32" t="s">
        <v>170</v>
      </c>
      <c r="D44" s="33" t="s">
        <v>171</v>
      </c>
      <c r="E44" s="29" t="s">
        <v>28</v>
      </c>
      <c r="F44" s="29" t="s">
        <v>28</v>
      </c>
      <c r="G44" s="29">
        <v>0.5</v>
      </c>
      <c r="H44" s="3" t="s">
        <v>172</v>
      </c>
      <c r="I44" s="32" t="s">
        <v>22</v>
      </c>
      <c r="J44" s="64" t="s">
        <v>173</v>
      </c>
      <c r="K44" s="65">
        <v>87.2</v>
      </c>
      <c r="L44" s="66">
        <v>77</v>
      </c>
      <c r="M44" s="22" t="s">
        <v>158</v>
      </c>
      <c r="N44" s="18" t="s">
        <v>174</v>
      </c>
      <c r="O44" s="15" t="s">
        <v>175</v>
      </c>
      <c r="P44" s="67" t="s">
        <v>176</v>
      </c>
    </row>
    <row r="45" spans="1:16" s="6" customFormat="1" x14ac:dyDescent="0.35">
      <c r="A45" s="32" t="s">
        <v>177</v>
      </c>
      <c r="B45" s="45" t="e">
        <f>VLOOKUP(A45,'Zeo++'!$A$2:$A$24,1,FALSE)</f>
        <v>#N/A</v>
      </c>
      <c r="C45" s="32" t="s">
        <v>170</v>
      </c>
      <c r="D45" s="61" t="s">
        <v>178</v>
      </c>
      <c r="E45" s="29" t="s">
        <v>28</v>
      </c>
      <c r="F45" s="29" t="s">
        <v>28</v>
      </c>
      <c r="G45" s="29">
        <v>0.5</v>
      </c>
      <c r="H45" s="3" t="s">
        <v>172</v>
      </c>
      <c r="I45" s="32" t="s">
        <v>22</v>
      </c>
      <c r="J45" s="64" t="s">
        <v>173</v>
      </c>
      <c r="K45" s="65">
        <v>153.1</v>
      </c>
      <c r="L45" s="68">
        <v>86</v>
      </c>
      <c r="M45" s="22" t="s">
        <v>158</v>
      </c>
      <c r="N45" s="18" t="s">
        <v>179</v>
      </c>
      <c r="O45" s="15" t="s">
        <v>175</v>
      </c>
      <c r="P45" s="69" t="s">
        <v>180</v>
      </c>
    </row>
    <row r="46" spans="1:16" s="36" customFormat="1" x14ac:dyDescent="0.35">
      <c r="A46" s="45" t="s">
        <v>181</v>
      </c>
      <c r="B46" s="45" t="e">
        <f>VLOOKUP(A46,'Zeo++'!$A$2:$A$24,1,FALSE)</f>
        <v>#N/A</v>
      </c>
      <c r="C46" s="32" t="s">
        <v>170</v>
      </c>
      <c r="D46" s="61" t="s">
        <v>182</v>
      </c>
      <c r="E46" s="32" t="s">
        <v>28</v>
      </c>
      <c r="F46" s="32" t="s">
        <v>28</v>
      </c>
      <c r="G46" s="32">
        <v>0.5</v>
      </c>
      <c r="H46" s="44" t="s">
        <v>172</v>
      </c>
      <c r="I46" s="32" t="s">
        <v>22</v>
      </c>
      <c r="J46" s="64" t="s">
        <v>173</v>
      </c>
      <c r="K46" s="56">
        <v>185.6</v>
      </c>
      <c r="L46" s="55">
        <v>93</v>
      </c>
      <c r="M46" s="33" t="s">
        <v>158</v>
      </c>
      <c r="N46" s="34" t="s">
        <v>30</v>
      </c>
      <c r="O46" s="35" t="s">
        <v>175</v>
      </c>
      <c r="P46" s="67" t="s">
        <v>183</v>
      </c>
    </row>
    <row r="47" spans="1:16" s="11" customFormat="1" x14ac:dyDescent="0.35">
      <c r="A47" s="83" t="s">
        <v>184</v>
      </c>
      <c r="B47" s="83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30"/>
    </row>
    <row r="48" spans="1:16" x14ac:dyDescent="0.35">
      <c r="A48" s="45" t="s">
        <v>185</v>
      </c>
      <c r="B48" s="45" t="str">
        <f>VLOOKUP(A48,'Zeo++'!$A$2:$A$24,1,FALSE)</f>
        <v>Ce-BTC</v>
      </c>
      <c r="C48" s="44" t="s">
        <v>186</v>
      </c>
      <c r="D48" s="34" t="s">
        <v>59</v>
      </c>
      <c r="E48" s="3" t="s">
        <v>28</v>
      </c>
      <c r="F48" s="3" t="s">
        <v>28</v>
      </c>
      <c r="G48" s="3">
        <v>1</v>
      </c>
      <c r="H48" s="3" t="s">
        <v>52</v>
      </c>
      <c r="I48" s="44">
        <v>3.3</v>
      </c>
      <c r="J48" s="52" t="s">
        <v>22</v>
      </c>
      <c r="K48" s="56">
        <v>210</v>
      </c>
      <c r="L48" s="59" t="s">
        <v>22</v>
      </c>
      <c r="M48" s="3" t="s">
        <v>22</v>
      </c>
      <c r="N48" s="3" t="s">
        <v>22</v>
      </c>
      <c r="O48" s="15" t="s">
        <v>133</v>
      </c>
      <c r="P48" s="44" t="s">
        <v>63</v>
      </c>
    </row>
    <row r="49" spans="1:16" s="12" customFormat="1" x14ac:dyDescent="0.35">
      <c r="A49" s="73" t="s">
        <v>187</v>
      </c>
      <c r="B49" s="73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31"/>
    </row>
    <row r="50" spans="1:16" x14ac:dyDescent="0.35">
      <c r="A50" s="45" t="s">
        <v>188</v>
      </c>
      <c r="B50" s="45" t="str">
        <f>VLOOKUP(A50,'Zeo++'!$A$2:$A$24,1,FALSE)</f>
        <v>Mn-BTC</v>
      </c>
      <c r="C50" s="44" t="s">
        <v>189</v>
      </c>
      <c r="D50" s="34" t="s">
        <v>59</v>
      </c>
      <c r="E50" s="18" t="s">
        <v>28</v>
      </c>
      <c r="F50" s="18" t="s">
        <v>28</v>
      </c>
      <c r="G50" s="3">
        <v>1</v>
      </c>
      <c r="H50" s="3" t="s">
        <v>52</v>
      </c>
      <c r="I50" s="44">
        <v>3.3</v>
      </c>
      <c r="J50" s="52" t="s">
        <v>22</v>
      </c>
      <c r="K50" s="56">
        <v>130</v>
      </c>
      <c r="L50" s="59" t="s">
        <v>22</v>
      </c>
      <c r="M50" s="3" t="s">
        <v>22</v>
      </c>
      <c r="N50" s="3" t="s">
        <v>22</v>
      </c>
      <c r="O50" s="15" t="s">
        <v>133</v>
      </c>
      <c r="P50" s="44" t="s">
        <v>63</v>
      </c>
    </row>
    <row r="57" spans="1:16" x14ac:dyDescent="0.35">
      <c r="A57" s="44" t="s">
        <v>190</v>
      </c>
      <c r="B57" s="44"/>
    </row>
  </sheetData>
  <mergeCells count="10">
    <mergeCell ref="A3:O3"/>
    <mergeCell ref="A18:O18"/>
    <mergeCell ref="A23:O23"/>
    <mergeCell ref="A29:O29"/>
    <mergeCell ref="A47:O47"/>
    <mergeCell ref="A49:O49"/>
    <mergeCell ref="A32:O32"/>
    <mergeCell ref="A38:O38"/>
    <mergeCell ref="A41:O41"/>
    <mergeCell ref="A43:O43"/>
  </mergeCells>
  <phoneticPr fontId="4" type="noConversion"/>
  <hyperlinks>
    <hyperlink ref="O4" r:id="rId1" xr:uid="{0A791055-9D76-4B2C-AED2-28ACE3BBA4B4}"/>
    <hyperlink ref="O8" r:id="rId2" xr:uid="{046BE461-0248-4061-B159-0C9BB763C907}"/>
    <hyperlink ref="O9:O10" r:id="rId3" display="https://advanced.onlinelibrary.wiley.com/doi/full/10.1002/adma.202413120" xr:uid="{87486865-AC74-45D9-9BFB-C9607BEFE4D5}"/>
    <hyperlink ref="O5" r:id="rId4" location="sec0050" xr:uid="{85FB725D-9864-47FB-9012-87A7FCC01249}"/>
    <hyperlink ref="O6" r:id="rId5" location="sec0050" xr:uid="{138A720A-0570-4CAF-AACF-E08492144ECE}"/>
    <hyperlink ref="O7" r:id="rId6" location="sec0050" xr:uid="{C0B6561A-A3DE-412A-B20F-80AADDD378EF}"/>
    <hyperlink ref="O11" r:id="rId7" xr:uid="{AF144960-2F0B-46B4-8CF3-32330802754B}"/>
    <hyperlink ref="O12" r:id="rId8" xr:uid="{BA11D5AE-2063-4321-A267-C8B79D551219}"/>
    <hyperlink ref="O13" r:id="rId9" xr:uid="{A7074819-D101-46DA-AD30-153176A2CB6B}"/>
    <hyperlink ref="O16" r:id="rId10" xr:uid="{075A9C32-3A39-4418-9967-6296D34CC2A4}"/>
    <hyperlink ref="O17" r:id="rId11" xr:uid="{59B741F2-1411-45E6-A4B7-D6011CD2E455}"/>
    <hyperlink ref="O14" r:id="rId12" xr:uid="{62066DC3-7851-4B6A-952A-5838B0C19C6E}"/>
    <hyperlink ref="O15" r:id="rId13" xr:uid="{3ED97F2A-A8BE-46E6-9D8C-87104D144B6D}"/>
    <hyperlink ref="O19" r:id="rId14" location="sec0010" xr:uid="{BB69EF2A-A360-4E03-9088-342A58DD291F}"/>
    <hyperlink ref="O20" r:id="rId15" location="sec0010" xr:uid="{9FA1474E-DE1D-41E9-AFB1-C46B6B38ECF6}"/>
    <hyperlink ref="O21" r:id="rId16" location="sec0010" xr:uid="{4B30FC0E-0444-46E5-ACE5-8849DFF990F5}"/>
    <hyperlink ref="O22" r:id="rId17" xr:uid="{3AEBBAD6-D800-41D4-A26F-20B7B239E7DF}"/>
    <hyperlink ref="O24" r:id="rId18" xr:uid="{1D729F15-4368-4AB1-AD58-FE08C43A6C29}"/>
    <hyperlink ref="O25" r:id="rId19" xr:uid="{E0578498-3169-4022-AA01-41EE8522C47F}"/>
    <hyperlink ref="O26" r:id="rId20" xr:uid="{5208149D-BF95-4E92-A49D-A366D250925D}"/>
    <hyperlink ref="O27" r:id="rId21" xr:uid="{0D614E70-0E6C-409B-9890-5A258FB20D95}"/>
    <hyperlink ref="O28" r:id="rId22" xr:uid="{C53CADE7-257B-4203-A0A6-B4B6F114A95A}"/>
    <hyperlink ref="O30" r:id="rId23" xr:uid="{D7214C7D-4B18-4468-BF04-BF1B8EBAF004}"/>
    <hyperlink ref="O31" r:id="rId24" xr:uid="{2280ACD8-4A3E-40E9-BAF7-047FB3EE0482}"/>
    <hyperlink ref="O33" r:id="rId25" xr:uid="{64685128-FC5A-467C-8C84-B486FB876591}"/>
    <hyperlink ref="O34" r:id="rId26" xr:uid="{0A808F70-D845-46F3-A9F4-0EF87DC4A82D}"/>
    <hyperlink ref="O37" r:id="rId27" xr:uid="{C325A47A-B71E-474B-A37F-8ADAA3EB06AD}"/>
    <hyperlink ref="O35" r:id="rId28" location="sec0050" xr:uid="{7D0E3CA8-90DC-44AA-BCFE-9BEBC0F554AE}"/>
    <hyperlink ref="O36" r:id="rId29" location="sec0050" xr:uid="{4A21FB72-30E5-442B-9C20-6AA516758FC8}"/>
    <hyperlink ref="O39" r:id="rId30" xr:uid="{E27F8C58-92D9-4C4C-8F3E-D627EA9BADC0}"/>
    <hyperlink ref="O40" r:id="rId31" xr:uid="{3527C01A-E922-4733-B839-9D313B507F2A}"/>
    <hyperlink ref="O42" r:id="rId32" xr:uid="{6F25B9C2-D262-4AEE-9163-F3C680E534B4}"/>
    <hyperlink ref="O48" r:id="rId33" xr:uid="{3C872E9E-0724-434A-8725-56397FE92E7E}"/>
    <hyperlink ref="O50" r:id="rId34" xr:uid="{D1A2B9FB-7ACB-453A-8D69-2D8326F080F7}"/>
    <hyperlink ref="O44" r:id="rId35" location="sec4" xr:uid="{6BB76256-0DE3-41D1-88E7-4D4D036148FA}"/>
    <hyperlink ref="O45" r:id="rId36" location="sec4" xr:uid="{11A7EABE-4089-4B8B-99E6-CD3F239A9568}"/>
    <hyperlink ref="O46" r:id="rId37" location="sec4" xr:uid="{4AF0089C-6144-48BD-9E00-7220123AAF1D}"/>
  </hyperlinks>
  <pageMargins left="0.7" right="0.7" top="0.75" bottom="0.75" header="0.3" footer="0.3"/>
  <pageSetup paperSize="9" orientation="portrait" verticalDpi="0" r:id="rId3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1A742-A177-4AAA-ADE1-23DC149C30DA}">
  <dimension ref="A2:C24"/>
  <sheetViews>
    <sheetView topLeftCell="A10" workbookViewId="0">
      <selection activeCell="B25" sqref="B25"/>
    </sheetView>
  </sheetViews>
  <sheetFormatPr defaultRowHeight="14.5" x14ac:dyDescent="0.35"/>
  <cols>
    <col min="1" max="1" width="25.6328125" customWidth="1"/>
  </cols>
  <sheetData>
    <row r="2" spans="1:3" ht="18" x14ac:dyDescent="0.35">
      <c r="A2" s="70" t="s">
        <v>16</v>
      </c>
      <c r="B2" t="b">
        <f>A2=C2</f>
        <v>1</v>
      </c>
      <c r="C2" t="s">
        <v>16</v>
      </c>
    </row>
    <row r="3" spans="1:3" ht="18" x14ac:dyDescent="0.35">
      <c r="A3" s="70" t="s">
        <v>35</v>
      </c>
      <c r="B3" t="b">
        <f t="shared" ref="B3:B24" si="0">A3=C3</f>
        <v>1</v>
      </c>
      <c r="C3" t="s">
        <v>35</v>
      </c>
    </row>
    <row r="4" spans="1:3" ht="18" x14ac:dyDescent="0.35">
      <c r="A4" s="70" t="s">
        <v>44</v>
      </c>
      <c r="B4" t="b">
        <f t="shared" si="0"/>
        <v>1</v>
      </c>
      <c r="C4" t="s">
        <v>44</v>
      </c>
    </row>
    <row r="5" spans="1:3" ht="18" x14ac:dyDescent="0.35">
      <c r="A5" s="70" t="s">
        <v>49</v>
      </c>
      <c r="B5" t="b">
        <f t="shared" si="0"/>
        <v>1</v>
      </c>
      <c r="C5" t="s">
        <v>49</v>
      </c>
    </row>
    <row r="6" spans="1:3" ht="18" x14ac:dyDescent="0.35">
      <c r="A6" s="71" t="s">
        <v>55</v>
      </c>
      <c r="B6" t="b">
        <f t="shared" si="0"/>
        <v>1</v>
      </c>
      <c r="C6" t="s">
        <v>55</v>
      </c>
    </row>
    <row r="7" spans="1:3" ht="18" x14ac:dyDescent="0.35">
      <c r="A7" s="70" t="s">
        <v>58</v>
      </c>
      <c r="B7" t="b">
        <f t="shared" si="0"/>
        <v>1</v>
      </c>
      <c r="C7" t="s">
        <v>58</v>
      </c>
    </row>
    <row r="8" spans="1:3" ht="18" x14ac:dyDescent="0.35">
      <c r="A8" s="70" t="s">
        <v>64</v>
      </c>
      <c r="B8" t="b">
        <f t="shared" si="0"/>
        <v>1</v>
      </c>
      <c r="C8" t="s">
        <v>64</v>
      </c>
    </row>
    <row r="9" spans="1:3" ht="18" x14ac:dyDescent="0.35">
      <c r="A9" s="70" t="s">
        <v>72</v>
      </c>
      <c r="B9" t="b">
        <f t="shared" si="0"/>
        <v>1</v>
      </c>
      <c r="C9" t="s">
        <v>72</v>
      </c>
    </row>
    <row r="10" spans="1:3" ht="18" x14ac:dyDescent="0.35">
      <c r="A10" s="70" t="s">
        <v>79</v>
      </c>
      <c r="B10" t="b">
        <f t="shared" si="0"/>
        <v>1</v>
      </c>
      <c r="C10" t="s">
        <v>79</v>
      </c>
    </row>
    <row r="11" spans="1:3" ht="18" x14ac:dyDescent="0.35">
      <c r="A11" s="70" t="s">
        <v>84</v>
      </c>
      <c r="B11" t="b">
        <f t="shared" si="0"/>
        <v>1</v>
      </c>
      <c r="C11" t="s">
        <v>84</v>
      </c>
    </row>
    <row r="12" spans="1:3" ht="18" x14ac:dyDescent="0.35">
      <c r="A12" s="70" t="s">
        <v>94</v>
      </c>
      <c r="B12" t="b">
        <f t="shared" si="0"/>
        <v>1</v>
      </c>
      <c r="C12" t="s">
        <v>94</v>
      </c>
    </row>
    <row r="13" spans="1:3" ht="18" x14ac:dyDescent="0.35">
      <c r="A13" s="70" t="s">
        <v>101</v>
      </c>
      <c r="B13" t="b">
        <f t="shared" si="0"/>
        <v>1</v>
      </c>
      <c r="C13" t="s">
        <v>101</v>
      </c>
    </row>
    <row r="14" spans="1:3" ht="18" x14ac:dyDescent="0.35">
      <c r="A14" s="70" t="s">
        <v>103</v>
      </c>
      <c r="B14" t="b">
        <f t="shared" si="0"/>
        <v>1</v>
      </c>
      <c r="C14" t="s">
        <v>103</v>
      </c>
    </row>
    <row r="15" spans="1:3" ht="18" x14ac:dyDescent="0.35">
      <c r="A15" s="70" t="s">
        <v>114</v>
      </c>
      <c r="B15" t="b">
        <f t="shared" si="0"/>
        <v>1</v>
      </c>
      <c r="C15" t="s">
        <v>114</v>
      </c>
    </row>
    <row r="16" spans="1:3" ht="18" x14ac:dyDescent="0.35">
      <c r="A16" s="70" t="s">
        <v>121</v>
      </c>
      <c r="B16" t="b">
        <f t="shared" si="0"/>
        <v>1</v>
      </c>
      <c r="C16" t="s">
        <v>121</v>
      </c>
    </row>
    <row r="17" spans="1:3" ht="18" x14ac:dyDescent="0.35">
      <c r="A17" s="70" t="s">
        <v>129</v>
      </c>
      <c r="B17" t="b">
        <f t="shared" si="0"/>
        <v>1</v>
      </c>
      <c r="C17" t="s">
        <v>129</v>
      </c>
    </row>
    <row r="18" spans="1:3" ht="18" x14ac:dyDescent="0.35">
      <c r="A18" s="70" t="s">
        <v>134</v>
      </c>
      <c r="B18" t="b">
        <f t="shared" si="0"/>
        <v>1</v>
      </c>
      <c r="C18" t="s">
        <v>134</v>
      </c>
    </row>
    <row r="19" spans="1:3" ht="18" x14ac:dyDescent="0.35">
      <c r="A19" s="70" t="s">
        <v>136</v>
      </c>
      <c r="B19" t="b">
        <f t="shared" si="0"/>
        <v>1</v>
      </c>
      <c r="C19" t="s">
        <v>136</v>
      </c>
    </row>
    <row r="20" spans="1:3" ht="18" x14ac:dyDescent="0.35">
      <c r="A20" s="70" t="s">
        <v>143</v>
      </c>
      <c r="B20" t="b">
        <f t="shared" si="0"/>
        <v>1</v>
      </c>
      <c r="C20" t="s">
        <v>143</v>
      </c>
    </row>
    <row r="21" spans="1:3" ht="18" x14ac:dyDescent="0.35">
      <c r="A21" s="70" t="s">
        <v>151</v>
      </c>
      <c r="B21" t="b">
        <f t="shared" si="0"/>
        <v>1</v>
      </c>
      <c r="C21" t="s">
        <v>151</v>
      </c>
    </row>
    <row r="22" spans="1:3" ht="18" x14ac:dyDescent="0.35">
      <c r="A22" s="70" t="s">
        <v>165</v>
      </c>
      <c r="B22" t="b">
        <f t="shared" si="0"/>
        <v>1</v>
      </c>
      <c r="C22" t="s">
        <v>165</v>
      </c>
    </row>
    <row r="23" spans="1:3" ht="18" x14ac:dyDescent="0.35">
      <c r="A23" s="70" t="s">
        <v>188</v>
      </c>
      <c r="B23" t="b">
        <f t="shared" si="0"/>
        <v>1</v>
      </c>
      <c r="C23" t="s">
        <v>188</v>
      </c>
    </row>
    <row r="24" spans="1:3" ht="18.5" thickBot="1" x14ac:dyDescent="0.4">
      <c r="A24" s="72" t="s">
        <v>185</v>
      </c>
      <c r="B24" t="b">
        <f t="shared" si="0"/>
        <v>1</v>
      </c>
      <c r="C24" t="s">
        <v>185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84b924-3ab4-4116-9251-9939f695e54c}" enabled="0" method="" siteId="{0084b924-3ab4-4116-9251-9939f695e5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Zeo++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ULPG:Qihao.Yin</dc:creator>
  <cp:keywords/>
  <dc:description/>
  <cp:lastModifiedBy>Hasan Mansoor (Staff)</cp:lastModifiedBy>
  <cp:revision/>
  <dcterms:created xsi:type="dcterms:W3CDTF">2025-06-06T19:34:18Z</dcterms:created>
  <dcterms:modified xsi:type="dcterms:W3CDTF">2026-01-15T12:13:13Z</dcterms:modified>
  <cp:category/>
  <cp:contentStatus/>
</cp:coreProperties>
</file>