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sm24sch\Documents\ML_Discovery_Metal-Organic_Adsobents\Data\"/>
    </mc:Choice>
  </mc:AlternateContent>
  <xr:revisionPtr revIDLastSave="0" documentId="8_{6FFF23D6-CD6C-414C-9B9F-9518C8AF669A}" xr6:coauthVersionLast="47" xr6:coauthVersionMax="47" xr10:uidLastSave="{00000000-0000-0000-0000-000000000000}"/>
  <bookViews>
    <workbookView xWindow="2364" yWindow="17172" windowWidth="23256" windowHeight="12456" activeTab="1" xr2:uid="{7F39D62D-7A9E-4BF5-B306-F042DD003CFB}"/>
  </bookViews>
  <sheets>
    <sheet name="Sheet1" sheetId="1" r:id="rId1"/>
    <sheet name="Zeo++" sheetId="2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2" i="1"/>
  <c r="B21" i="1"/>
  <c r="B19" i="1"/>
  <c r="B17" i="1"/>
  <c r="B16" i="1"/>
  <c r="B15" i="1"/>
  <c r="B14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<sst xmlns="http://schemas.openxmlformats.org/spreadsheetml/2006/main" count="228" uniqueCount="122">
  <si>
    <t>Units: pp,: mg/L; ppb: ug/L; ppt: ng/L</t>
  </si>
  <si>
    <t>MOFs name</t>
  </si>
  <si>
    <t>Metal ion</t>
  </si>
  <si>
    <t>Organic ligand</t>
  </si>
  <si>
    <t>CSD refcode</t>
  </si>
  <si>
    <t>CCDC number</t>
  </si>
  <si>
    <t>MOF dosage(g/L)</t>
  </si>
  <si>
    <t>pH</t>
  </si>
  <si>
    <t>Adsorption capacity (mg/g)</t>
  </si>
  <si>
    <t>Removal performance (%)</t>
  </si>
  <si>
    <t>Regeneration solvent</t>
  </si>
  <si>
    <t>Regeneration performance</t>
  </si>
  <si>
    <t>Reference</t>
  </si>
  <si>
    <t>CAS Number for ligands</t>
  </si>
  <si>
    <t>Zr(IV) MOFs</t>
  </si>
  <si>
    <t>UiO-66</t>
  </si>
  <si>
    <t>Zr(IV)</t>
  </si>
  <si>
    <t>Benzene-1,4-dicarboxylic acid</t>
  </si>
  <si>
    <t>RUBTAK03</t>
  </si>
  <si>
    <t>2 μg/L</t>
  </si>
  <si>
    <t>30 min</t>
  </si>
  <si>
    <t>N/M</t>
  </si>
  <si>
    <t>methanol + 1% NaCl (70–30 v/v)</t>
  </si>
  <si>
    <t>https://advanced.onlinelibrary.wiley.com/doi/full/10.1002/adma.202413120</t>
  </si>
  <si>
    <t>100-21-0</t>
  </si>
  <si>
    <t>UiO-66-NH2</t>
  </si>
  <si>
    <t>2-amino-1,4-benzenedicarboxylic acid</t>
  </si>
  <si>
    <t>SURKAT</t>
  </si>
  <si>
    <t>10312-55-7</t>
  </si>
  <si>
    <t>UiO-66-NO2</t>
  </si>
  <si>
    <t>2-nitroterephthalic acid</t>
  </si>
  <si>
    <t>SURKEX</t>
  </si>
  <si>
    <t>https://advanced.onlinelibrary.wiley.com/doi/full/10.1002/adma.202413121</t>
  </si>
  <si>
    <t>610-29-7</t>
  </si>
  <si>
    <t>UiO-66-F4</t>
  </si>
  <si>
    <t>2,3,5,6-tetrafluoroterephthalic acid</t>
  </si>
  <si>
    <t>N/A</t>
  </si>
  <si>
    <t>https://advanced.onlinelibrary.wiley.com/doi/full/10.1002/adma.202413122</t>
  </si>
  <si>
    <t>652-36-8</t>
  </si>
  <si>
    <t>UiO-67</t>
  </si>
  <si>
    <t>Biphenyl-4,4 -dicarboxylic acid</t>
  </si>
  <si>
    <t>WIZMAV</t>
  </si>
  <si>
    <t>500 mg/L</t>
  </si>
  <si>
    <t>Metal-organic frameworks cavity size effect on the extraction of organic pollutants - ScienceDirect</t>
  </si>
  <si>
    <t>787-70-2</t>
  </si>
  <si>
    <t>MOF-801</t>
  </si>
  <si>
    <t>Fumaric acid</t>
  </si>
  <si>
    <t>BOHKAM</t>
  </si>
  <si>
    <t>Amino-functionalized UiO-66 as a Novel Adsorbent for Removal of Perfluorooctane Sulfonate from Aqueous Solution | Chemistry Letters | Oxford Academic</t>
  </si>
  <si>
    <t>110-17-8</t>
  </si>
  <si>
    <t>PCN-222</t>
  </si>
  <si>
    <t>Tetrakis (4-carboxyphenyl) porphyrin</t>
  </si>
  <si>
    <t>BEDYEQ</t>
  </si>
  <si>
    <t>350 mg/L</t>
  </si>
  <si>
    <t>10 h</t>
  </si>
  <si>
    <t>Synthesis and characterization of PCN-222 metal organic framework and its application for removing perfluorooctane sulfonate from water - ScienceDirect</t>
  </si>
  <si>
    <t>14609-54-2</t>
  </si>
  <si>
    <t>PCN-224</t>
  </si>
  <si>
    <t>Meso-tetra(4-carboxyphenyl)porphine</t>
  </si>
  <si>
    <t>DOGBAE</t>
  </si>
  <si>
    <t>100 mg/L</t>
  </si>
  <si>
    <t>1 h</t>
  </si>
  <si>
    <t>30/70 v/v 0.1 M HCl/methanol</t>
  </si>
  <si>
    <t>95% removal after 5 cycles</t>
  </si>
  <si>
    <t>A Porphyrinic Metal‐Organic Framework with Cooperative Adsorption Domains for PFAS Removal from Water - Zhang - 2024 - ChemSusChem - Wiley Online Library</t>
  </si>
  <si>
    <t>NU-1000</t>
  </si>
  <si>
    <t>1,3,6,8-tetrakis(p-benzoic acid)pyrene</t>
  </si>
  <si>
    <t>FIFFUX</t>
  </si>
  <si>
    <t>87 μg/L</t>
  </si>
  <si>
    <t>30min</t>
  </si>
  <si>
    <t>96% removal after 5 cycles</t>
  </si>
  <si>
    <t>Efficient Removal of Per- and Polyfluoroalkyl Substances from Water with Zirconium-Based Metal–Organic Frameworks | Chemistry of Materials</t>
  </si>
  <si>
    <t>933047-52-0</t>
  </si>
  <si>
    <t>Al(III) MOFs</t>
  </si>
  <si>
    <t>MIL-53(Al)-as</t>
  </si>
  <si>
    <t>Al(III)</t>
  </si>
  <si>
    <t>HEJPAR</t>
  </si>
  <si>
    <t>80 mg/L</t>
  </si>
  <si>
    <t>200 min</t>
  </si>
  <si>
    <t>Perfluorooctane sulfonate removal by metal-organic frameworks (MOFs): Insights into the effect and mechanism of metal nodes and organic ligands - ScienceDirect</t>
  </si>
  <si>
    <t>DUT-4</t>
  </si>
  <si>
    <t>1,4-naphthalenedicarboxylate</t>
  </si>
  <si>
    <t>PARPII</t>
  </si>
  <si>
    <t>2 h</t>
  </si>
  <si>
    <t>Methanol</t>
  </si>
  <si>
    <t>100 % recovery</t>
  </si>
  <si>
    <t>605-70-9</t>
  </si>
  <si>
    <t>DUT-5</t>
  </si>
  <si>
    <t>DUT-5-2</t>
  </si>
  <si>
    <t>30 mg/L</t>
  </si>
  <si>
    <t xml:space="preserve">Methanol </t>
  </si>
  <si>
    <t>93% removal after 4 cycles</t>
  </si>
  <si>
    <t>Microwave synthesis of metal-organic frameworks absorbents (DUT-5-2) for the removal of PFOS and PFOA from aqueous solutions - ScienceDirect</t>
  </si>
  <si>
    <t>Zn(II) MOFs</t>
  </si>
  <si>
    <t>ZIF-8</t>
  </si>
  <si>
    <t>Zn(II)</t>
  </si>
  <si>
    <t>2-methylimidazole</t>
  </si>
  <si>
    <t>CUBYAD</t>
  </si>
  <si>
    <t>4 h</t>
  </si>
  <si>
    <t>Surfactant-assisted synthesis of nanocrystalline zeolitic imidazolate framework 8 and 67 for adsorptive removal of perfluorooctane sulfonate from aqueous solution - ScienceDirect</t>
  </si>
  <si>
    <t>693-98-1</t>
  </si>
  <si>
    <t>Ni(II) MOFs</t>
  </si>
  <si>
    <t>NiL1-F</t>
  </si>
  <si>
    <t>Ni(II)</t>
  </si>
  <si>
    <t>Boc2L1-F</t>
  </si>
  <si>
    <t>1 mg/L</t>
  </si>
  <si>
    <t>12 h</t>
  </si>
  <si>
    <t>methanol</t>
  </si>
  <si>
    <t>76.5% removal after 4 cycles</t>
  </si>
  <si>
    <t>https://pubs.acs.org/doi/10.1021/acsami.3c07568?src=getftr&amp;utm_source=wiley&amp;getft_integrator=wiley</t>
  </si>
  <si>
    <t>Synthetic ligand</t>
  </si>
  <si>
    <t>NiL1-CCH</t>
  </si>
  <si>
    <t>Boc2L1-CCH</t>
  </si>
  <si>
    <t>Co(II) MOFs</t>
  </si>
  <si>
    <t>ZIF-67</t>
  </si>
  <si>
    <t>Co(II)</t>
  </si>
  <si>
    <t>2-Methylimidazole</t>
  </si>
  <si>
    <t>GITTOT02</t>
  </si>
  <si>
    <t>5 h</t>
  </si>
  <si>
    <t>N/A: not applicable; N/M: not mentioned.</t>
  </si>
  <si>
    <t>PFOS adsoption kinetics (time to attain saturation /equilibrium loading)</t>
  </si>
  <si>
    <t>Higest removal and/or capacity achieved from aquoeus PFOS concentrations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</si>
</sst>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</font>
    <font>
      <sz val="11"/>
      <color theme="1"/>
      <name val="Arial"/>
    </font>
    <font>
      <u/>
      <sz val="11"/>
      <color theme="10"/>
      <name val="Aptos Narrow"/>
      <family val="2"/>
      <scheme val="minor"/>
    </font>
    <font>
      <sz val="11"/>
      <color rgb="FF000000"/>
      <name val="Arial"/>
      <charset val="1"/>
    </font>
    <font>
      <sz val="11"/>
      <color rgb="FF151515"/>
      <name val="Roboto"/>
      <charset val="1"/>
    </font>
    <font>
      <sz val="11"/>
      <color rgb="FF1F1F1F"/>
      <name val="Arial"/>
    </font>
    <font>
      <sz val="11"/>
      <color rgb="FF040C28"/>
      <name val="Arial"/>
    </font>
    <font>
      <b/>
      <sz val="16"/>
      <color theme="1"/>
      <name val="Aptos Narrow"/>
      <family val="2"/>
      <scheme val="minor"/>
    </font>
    <font>
      <b/>
      <sz val="11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E2DDC2"/>
        <bgColor indexed="64"/>
      </patternFill>
    </fill>
    <fill>
      <patternFill patternType="solid">
        <fgColor rgb="FFE3FCA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8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0" xfId="2" applyFill="1"/>
    <xf numFmtId="0" fontId="3" fillId="0" borderId="0" xfId="2" applyFont="1" applyFill="1" applyAlignment="1">
      <alignment horizontal="center" vertical="center"/>
    </xf>
    <xf numFmtId="0" fontId="8" fillId="0" borderId="0" xfId="3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3"/>
    <xf numFmtId="0" fontId="10" fillId="0" borderId="0" xfId="0" applyFont="1" applyAlignment="1">
      <alignment horizontal="center" wrapText="1"/>
    </xf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9" borderId="0" xfId="2" applyFont="1" applyFill="1" applyAlignment="1">
      <alignment horizontal="center" vertical="center"/>
    </xf>
    <xf numFmtId="0" fontId="3" fillId="10" borderId="0" xfId="2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5" fillId="2" borderId="0" xfId="1" applyFont="1" applyAlignment="1">
      <alignment horizontal="left"/>
    </xf>
    <xf numFmtId="0" fontId="1" fillId="5" borderId="0" xfId="2" applyFill="1" applyAlignment="1">
      <alignment horizontal="left"/>
    </xf>
    <xf numFmtId="0" fontId="1" fillId="6" borderId="0" xfId="2" applyFill="1" applyAlignment="1">
      <alignment horizontal="left"/>
    </xf>
    <xf numFmtId="0" fontId="0" fillId="7" borderId="0" xfId="0" applyFill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7" fillId="7" borderId="0" xfId="0" applyFont="1" applyFill="1" applyAlignment="1">
      <alignment horizontal="center"/>
    </xf>
    <xf numFmtId="0" fontId="7" fillId="11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5" fillId="5" borderId="0" xfId="2" applyFont="1" applyFill="1" applyAlignment="1">
      <alignment horizontal="left" vertical="center"/>
    </xf>
    <xf numFmtId="0" fontId="5" fillId="6" borderId="0" xfId="2" applyFont="1" applyFill="1" applyAlignment="1">
      <alignment horizontal="left" vertical="center"/>
    </xf>
    <xf numFmtId="0" fontId="5" fillId="7" borderId="0" xfId="2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2" borderId="0" xfId="1" applyFont="1" applyAlignment="1">
      <alignment horizontal="left" vertical="center"/>
    </xf>
  </cellXfs>
  <cellStyles count="4">
    <cellStyle name="20% - Accent3" xfId="1" builtinId="38"/>
    <cellStyle name="20% - Accent5" xfId="2" builtinId="46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FF7C80"/>
      <color rgb="FFE2DDC2"/>
      <color rgb="FF33CCCC"/>
      <color rgb="FF0000CC"/>
      <color rgb="FFFFFF66"/>
      <color rgb="FFE3FC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ic.oup.com/chemlett/article/50/8/1592/7371736" TargetMode="External"/><Relationship Id="rId13" Type="http://schemas.openxmlformats.org/officeDocument/2006/relationships/hyperlink" Target="https://www.sciencedirect.com/science/article/pii/S1385894720329806?via%3Dihub" TargetMode="External"/><Relationship Id="rId3" Type="http://schemas.openxmlformats.org/officeDocument/2006/relationships/hyperlink" Target="https://advanced.onlinelibrary.wiley.com/doi/full/10.1002/adma.202413120" TargetMode="External"/><Relationship Id="rId7" Type="http://schemas.openxmlformats.org/officeDocument/2006/relationships/hyperlink" Target="https://www.sciencedirect.com/science/article/pii/S0167577X19306822?via%3Dihub" TargetMode="External"/><Relationship Id="rId12" Type="http://schemas.openxmlformats.org/officeDocument/2006/relationships/hyperlink" Target="https://www.sciencedirect.com/science/article/pii/S1385894720329806?via%3Dihub" TargetMode="External"/><Relationship Id="rId2" Type="http://schemas.openxmlformats.org/officeDocument/2006/relationships/hyperlink" Target="https://advanced.onlinelibrary.wiley.com/doi/full/10.1002/adma.202413120" TargetMode="External"/><Relationship Id="rId16" Type="http://schemas.openxmlformats.org/officeDocument/2006/relationships/hyperlink" Target="https://www.sciencedirect.com/science/article/pii/S1387181122000622?via%3Dihub" TargetMode="External"/><Relationship Id="rId1" Type="http://schemas.openxmlformats.org/officeDocument/2006/relationships/hyperlink" Target="https://advanced.onlinelibrary.wiley.com/doi/full/10.1002/adma.202413120" TargetMode="External"/><Relationship Id="rId6" Type="http://schemas.openxmlformats.org/officeDocument/2006/relationships/hyperlink" Target="https://pubs.acs.org/doi/10.1021/acsami.3c07568?src=getftr&amp;utm_source=wiley&amp;getft_integrator=wiley" TargetMode="External"/><Relationship Id="rId11" Type="http://schemas.openxmlformats.org/officeDocument/2006/relationships/hyperlink" Target="https://www.sciencedirect.com/science/article/pii/S1385894720329806?via%3Dihub" TargetMode="External"/><Relationship Id="rId5" Type="http://schemas.openxmlformats.org/officeDocument/2006/relationships/hyperlink" Target="https://pubs.acs.org/doi/10.1021/acsami.3c07568?src=getftr&amp;utm_source=wiley&amp;getft_integrator=wiley" TargetMode="External"/><Relationship Id="rId15" Type="http://schemas.openxmlformats.org/officeDocument/2006/relationships/hyperlink" Target="https://www.sciencedirect.com/science/article/pii/S0920586119306996?via%3Dihub" TargetMode="External"/><Relationship Id="rId10" Type="http://schemas.openxmlformats.org/officeDocument/2006/relationships/hyperlink" Target="https://chemistry-europe.onlinelibrary.wiley.com/doi/full/10.1002/cssc.202400069" TargetMode="External"/><Relationship Id="rId4" Type="http://schemas.openxmlformats.org/officeDocument/2006/relationships/hyperlink" Target="https://pubs-acs-org.glucksman.idm.oclc.org/doi/10.1021/acs.chemmater.1c00324" TargetMode="External"/><Relationship Id="rId9" Type="http://schemas.openxmlformats.org/officeDocument/2006/relationships/hyperlink" Target="https://www.sciencedirect.com/science/article/pii/S0021979723000383" TargetMode="External"/><Relationship Id="rId14" Type="http://schemas.openxmlformats.org/officeDocument/2006/relationships/hyperlink" Target="https://www.sciencedirect.com/science/article/pii/S0920586119306996?via%3Di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9C12-0297-412A-B66C-4A4E3762923E}">
  <dimension ref="A1:X59"/>
  <sheetViews>
    <sheetView zoomScale="69" zoomScaleNormal="69" workbookViewId="0">
      <selection activeCell="B24" activeCellId="5" sqref="B4:B12 B14 B15 B16 B19 B24"/>
    </sheetView>
  </sheetViews>
  <sheetFormatPr defaultRowHeight="15" customHeight="1" x14ac:dyDescent="0.35"/>
  <cols>
    <col min="1" max="2" width="23.453125" customWidth="1"/>
    <col min="3" max="3" width="14.54296875" customWidth="1"/>
    <col min="4" max="4" width="47.1796875" customWidth="1"/>
    <col min="5" max="5" width="14.7265625" customWidth="1"/>
    <col min="6" max="6" width="16" customWidth="1"/>
    <col min="7" max="7" width="21.453125" customWidth="1"/>
    <col min="8" max="8" width="18.7265625" customWidth="1"/>
    <col min="10" max="10" width="26.54296875" customWidth="1"/>
    <col min="11" max="12" width="27.453125" customWidth="1"/>
    <col min="13" max="13" width="37.81640625" customWidth="1"/>
    <col min="14" max="14" width="31.26953125" customWidth="1"/>
    <col min="15" max="15" width="68.54296875" customWidth="1"/>
    <col min="24" max="24" width="26.26953125" customWidth="1"/>
  </cols>
  <sheetData>
    <row r="1" spans="1:24" ht="27.75" customHeight="1" x14ac:dyDescent="0.35">
      <c r="D1" s="32" t="s">
        <v>0</v>
      </c>
    </row>
    <row r="2" spans="1:24" ht="81.75" customHeight="1" x14ac:dyDescent="0.35">
      <c r="A2" s="38" t="s">
        <v>1</v>
      </c>
      <c r="B2" s="38"/>
      <c r="C2" s="38" t="s">
        <v>2</v>
      </c>
      <c r="D2" s="38" t="s">
        <v>3</v>
      </c>
      <c r="E2" s="38" t="s">
        <v>4</v>
      </c>
      <c r="F2" s="38" t="s">
        <v>5</v>
      </c>
      <c r="G2" s="38" t="s">
        <v>6</v>
      </c>
      <c r="H2" s="39" t="s">
        <v>121</v>
      </c>
      <c r="I2" s="38" t="s">
        <v>7</v>
      </c>
      <c r="J2" s="39" t="s">
        <v>120</v>
      </c>
      <c r="K2" s="38" t="s">
        <v>8</v>
      </c>
      <c r="L2" s="38" t="s">
        <v>9</v>
      </c>
      <c r="M2" s="38" t="s">
        <v>10</v>
      </c>
      <c r="N2" s="38" t="s">
        <v>11</v>
      </c>
      <c r="O2" s="38" t="s">
        <v>12</v>
      </c>
      <c r="P2" s="40"/>
      <c r="Q2" s="40"/>
      <c r="R2" s="40"/>
      <c r="S2" s="40"/>
      <c r="T2" s="40"/>
      <c r="U2" s="40"/>
      <c r="V2" s="40"/>
      <c r="W2" s="40"/>
      <c r="X2" s="38" t="s">
        <v>13</v>
      </c>
    </row>
    <row r="3" spans="1:24" s="27" customFormat="1" ht="14.5" x14ac:dyDescent="0.35">
      <c r="A3" s="46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24" s="1" customFormat="1" ht="14.5" x14ac:dyDescent="0.35">
      <c r="A4" s="2" t="s">
        <v>15</v>
      </c>
      <c r="B4" s="2" t="str">
        <f>VLOOKUP(A4,'Zeo++'!$A$2:$A$14,1,FALSE)</f>
        <v>UiO-66</v>
      </c>
      <c r="C4" s="2" t="s">
        <v>16</v>
      </c>
      <c r="D4" s="2" t="s">
        <v>17</v>
      </c>
      <c r="E4" s="2" t="s">
        <v>18</v>
      </c>
      <c r="F4" s="2">
        <v>1018045</v>
      </c>
      <c r="G4" s="2">
        <v>0.4</v>
      </c>
      <c r="H4" s="2" t="s">
        <v>19</v>
      </c>
      <c r="I4" s="2">
        <v>6.5</v>
      </c>
      <c r="J4" s="2" t="s">
        <v>20</v>
      </c>
      <c r="K4" s="16" t="s">
        <v>21</v>
      </c>
      <c r="L4" s="36">
        <v>66</v>
      </c>
      <c r="M4" s="2" t="s">
        <v>22</v>
      </c>
      <c r="N4" s="2" t="s">
        <v>21</v>
      </c>
      <c r="O4" s="7" t="s">
        <v>23</v>
      </c>
      <c r="X4" s="35" t="s">
        <v>24</v>
      </c>
    </row>
    <row r="5" spans="1:24" ht="14.5" x14ac:dyDescent="0.35">
      <c r="A5" s="2" t="s">
        <v>25</v>
      </c>
      <c r="B5" s="2" t="str">
        <f>VLOOKUP(A5,'Zeo++'!$A$2:$A$14,1,FALSE)</f>
        <v>UiO-66-NH2</v>
      </c>
      <c r="C5" s="2" t="s">
        <v>16</v>
      </c>
      <c r="D5" s="4" t="s">
        <v>26</v>
      </c>
      <c r="E5" s="3" t="s">
        <v>27</v>
      </c>
      <c r="F5" s="3">
        <v>1405751</v>
      </c>
      <c r="G5" s="8">
        <v>0.4</v>
      </c>
      <c r="H5" s="8" t="s">
        <v>19</v>
      </c>
      <c r="I5" s="8">
        <v>6.5</v>
      </c>
      <c r="J5" s="2" t="s">
        <v>20</v>
      </c>
      <c r="K5" s="16" t="s">
        <v>21</v>
      </c>
      <c r="L5" s="37">
        <v>46</v>
      </c>
      <c r="M5" s="10" t="s">
        <v>22</v>
      </c>
      <c r="N5" s="2" t="s">
        <v>21</v>
      </c>
      <c r="O5" s="7" t="s">
        <v>23</v>
      </c>
      <c r="X5" s="35" t="s">
        <v>28</v>
      </c>
    </row>
    <row r="6" spans="1:24" ht="14.5" x14ac:dyDescent="0.35">
      <c r="A6" s="2" t="s">
        <v>29</v>
      </c>
      <c r="B6" s="2" t="e">
        <f>VLOOKUP(A6,'Zeo++'!$A$2:$A$14,1,FALSE)</f>
        <v>#N/A</v>
      </c>
      <c r="C6" s="2" t="s">
        <v>16</v>
      </c>
      <c r="D6" s="8" t="s">
        <v>30</v>
      </c>
      <c r="E6" s="3" t="s">
        <v>31</v>
      </c>
      <c r="F6" s="3">
        <v>1405752</v>
      </c>
      <c r="G6" s="8">
        <v>0.4</v>
      </c>
      <c r="H6" s="8" t="s">
        <v>19</v>
      </c>
      <c r="I6" s="8">
        <v>6.5</v>
      </c>
      <c r="J6" s="2" t="s">
        <v>20</v>
      </c>
      <c r="K6" s="16" t="s">
        <v>21</v>
      </c>
      <c r="L6" s="37">
        <v>38</v>
      </c>
      <c r="M6" s="10" t="s">
        <v>22</v>
      </c>
      <c r="N6" s="2" t="s">
        <v>21</v>
      </c>
      <c r="O6" s="7" t="s">
        <v>32</v>
      </c>
      <c r="X6" s="35" t="s">
        <v>33</v>
      </c>
    </row>
    <row r="7" spans="1:24" ht="14.5" x14ac:dyDescent="0.35">
      <c r="A7" s="2" t="s">
        <v>34</v>
      </c>
      <c r="B7" s="2" t="str">
        <f>VLOOKUP(A7,'Zeo++'!$A$2:$A$14,1,FALSE)</f>
        <v>UiO-66-F4</v>
      </c>
      <c r="C7" s="2" t="s">
        <v>16</v>
      </c>
      <c r="D7" s="8" t="s">
        <v>35</v>
      </c>
      <c r="E7" s="8" t="s">
        <v>36</v>
      </c>
      <c r="F7" s="8" t="s">
        <v>36</v>
      </c>
      <c r="G7" s="8">
        <v>0.4</v>
      </c>
      <c r="H7" s="8" t="s">
        <v>19</v>
      </c>
      <c r="I7" s="8">
        <v>6.5</v>
      </c>
      <c r="J7" s="2" t="s">
        <v>20</v>
      </c>
      <c r="K7" s="16" t="s">
        <v>21</v>
      </c>
      <c r="L7" s="36">
        <v>77</v>
      </c>
      <c r="M7" s="10" t="s">
        <v>22</v>
      </c>
      <c r="N7" s="2" t="s">
        <v>21</v>
      </c>
      <c r="O7" s="7" t="s">
        <v>37</v>
      </c>
      <c r="X7" s="35" t="s">
        <v>38</v>
      </c>
    </row>
    <row r="8" spans="1:24" ht="14.5" x14ac:dyDescent="0.35">
      <c r="A8" s="2" t="s">
        <v>39</v>
      </c>
      <c r="B8" s="2" t="str">
        <f>VLOOKUP(A8,'Zeo++'!$A$2:$A$14,1,FALSE)</f>
        <v>UiO-67</v>
      </c>
      <c r="C8" s="2" t="s">
        <v>16</v>
      </c>
      <c r="D8" s="8" t="s">
        <v>40</v>
      </c>
      <c r="E8" s="3" t="s">
        <v>41</v>
      </c>
      <c r="F8" s="8">
        <v>960486</v>
      </c>
      <c r="G8" s="8">
        <v>1</v>
      </c>
      <c r="H8" s="8" t="s">
        <v>42</v>
      </c>
      <c r="I8" s="1">
        <v>4</v>
      </c>
      <c r="J8" s="8" t="s">
        <v>21</v>
      </c>
      <c r="K8" s="14">
        <v>583</v>
      </c>
      <c r="L8" s="17" t="s">
        <v>21</v>
      </c>
      <c r="M8" s="8" t="s">
        <v>21</v>
      </c>
      <c r="N8" s="2" t="s">
        <v>21</v>
      </c>
      <c r="O8" s="11" t="s">
        <v>43</v>
      </c>
      <c r="X8" s="35" t="s">
        <v>44</v>
      </c>
    </row>
    <row r="9" spans="1:24" ht="14.5" x14ac:dyDescent="0.35">
      <c r="A9" s="2" t="s">
        <v>45</v>
      </c>
      <c r="B9" s="2" t="str">
        <f>VLOOKUP(A9,'Zeo++'!$A$2:$A$14,1,FALSE)</f>
        <v>MOF-801</v>
      </c>
      <c r="C9" s="2" t="s">
        <v>16</v>
      </c>
      <c r="D9" s="20" t="s">
        <v>46</v>
      </c>
      <c r="E9" s="3" t="s">
        <v>47</v>
      </c>
      <c r="F9" s="3">
        <v>1002678</v>
      </c>
      <c r="G9" s="8">
        <v>1</v>
      </c>
      <c r="H9" s="8" t="s">
        <v>42</v>
      </c>
      <c r="I9" s="8" t="s">
        <v>21</v>
      </c>
      <c r="J9" s="8" t="s">
        <v>21</v>
      </c>
      <c r="K9" s="15">
        <v>48</v>
      </c>
      <c r="L9" s="17" t="s">
        <v>21</v>
      </c>
      <c r="M9" s="8" t="s">
        <v>21</v>
      </c>
      <c r="N9" s="2" t="s">
        <v>21</v>
      </c>
      <c r="O9" s="11" t="s">
        <v>48</v>
      </c>
      <c r="X9" s="35" t="s">
        <v>49</v>
      </c>
    </row>
    <row r="10" spans="1:24" ht="14.5" x14ac:dyDescent="0.35">
      <c r="A10" s="2" t="s">
        <v>50</v>
      </c>
      <c r="B10" s="2" t="str">
        <f>VLOOKUP(A10,'Zeo++'!$A$2:$A$14,1,FALSE)</f>
        <v>PCN-222</v>
      </c>
      <c r="C10" s="2" t="s">
        <v>16</v>
      </c>
      <c r="D10" s="12" t="s">
        <v>51</v>
      </c>
      <c r="E10" s="3" t="s">
        <v>52</v>
      </c>
      <c r="F10" s="3">
        <v>893545</v>
      </c>
      <c r="G10" s="8">
        <v>7.4999999999999997E-2</v>
      </c>
      <c r="H10" s="4" t="s">
        <v>53</v>
      </c>
      <c r="I10" s="8">
        <v>5</v>
      </c>
      <c r="J10" s="8" t="s">
        <v>54</v>
      </c>
      <c r="K10" s="13">
        <v>2257</v>
      </c>
      <c r="L10" s="17" t="s">
        <v>21</v>
      </c>
      <c r="M10" s="8" t="s">
        <v>21</v>
      </c>
      <c r="N10" s="2" t="s">
        <v>21</v>
      </c>
      <c r="O10" s="11" t="s">
        <v>55</v>
      </c>
      <c r="X10" s="8" t="s">
        <v>56</v>
      </c>
    </row>
    <row r="11" spans="1:24" ht="14.5" x14ac:dyDescent="0.35">
      <c r="A11" s="2" t="s">
        <v>57</v>
      </c>
      <c r="B11" s="2" t="str">
        <f>VLOOKUP(A11,'Zeo++'!$A$2:$A$14,1,FALSE)</f>
        <v>PCN-224</v>
      </c>
      <c r="C11" s="2" t="s">
        <v>16</v>
      </c>
      <c r="D11" s="23" t="s">
        <v>58</v>
      </c>
      <c r="E11" s="3" t="s">
        <v>59</v>
      </c>
      <c r="F11" s="3">
        <v>1001133</v>
      </c>
      <c r="G11" s="8">
        <v>0.5</v>
      </c>
      <c r="H11" s="4" t="s">
        <v>60</v>
      </c>
      <c r="I11" s="8">
        <v>3</v>
      </c>
      <c r="J11" s="8" t="s">
        <v>61</v>
      </c>
      <c r="K11" s="13">
        <v>963</v>
      </c>
      <c r="L11" s="13">
        <v>99</v>
      </c>
      <c r="M11" s="9" t="s">
        <v>62</v>
      </c>
      <c r="N11" s="4" t="s">
        <v>63</v>
      </c>
      <c r="O11" s="11" t="s">
        <v>64</v>
      </c>
      <c r="X11" s="8" t="s">
        <v>56</v>
      </c>
    </row>
    <row r="12" spans="1:24" ht="14.5" x14ac:dyDescent="0.35">
      <c r="A12" s="2" t="s">
        <v>65</v>
      </c>
      <c r="B12" s="2" t="str">
        <f>VLOOKUP(A12,'Zeo++'!$A$2:$A$14,1,FALSE)</f>
        <v>NU-1000</v>
      </c>
      <c r="C12" s="2" t="s">
        <v>16</v>
      </c>
      <c r="D12" s="8" t="s">
        <v>66</v>
      </c>
      <c r="E12" s="8" t="s">
        <v>67</v>
      </c>
      <c r="F12" s="8">
        <v>955328</v>
      </c>
      <c r="G12" s="8">
        <v>1</v>
      </c>
      <c r="H12" s="8" t="s">
        <v>68</v>
      </c>
      <c r="I12" s="8" t="s">
        <v>21</v>
      </c>
      <c r="J12" s="8" t="s">
        <v>69</v>
      </c>
      <c r="K12" s="14">
        <v>620</v>
      </c>
      <c r="L12" s="13">
        <v>98</v>
      </c>
      <c r="M12" s="3" t="s">
        <v>62</v>
      </c>
      <c r="N12" s="1" t="s">
        <v>70</v>
      </c>
      <c r="O12" s="11" t="s">
        <v>71</v>
      </c>
      <c r="X12" s="35" t="s">
        <v>72</v>
      </c>
    </row>
    <row r="13" spans="1:24" s="28" customFormat="1" ht="14" x14ac:dyDescent="0.3">
      <c r="A13" s="47" t="s">
        <v>73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</row>
    <row r="14" spans="1:24" ht="14.5" x14ac:dyDescent="0.35">
      <c r="A14" s="2" t="s">
        <v>74</v>
      </c>
      <c r="B14" s="2" t="str">
        <f>VLOOKUP(A14,'Zeo++'!$A$2:$A$14,1,FALSE)</f>
        <v>MIL-53(Al)-as</v>
      </c>
      <c r="C14" s="8" t="s">
        <v>75</v>
      </c>
      <c r="D14" s="10" t="s">
        <v>17</v>
      </c>
      <c r="E14" s="3" t="s">
        <v>76</v>
      </c>
      <c r="F14" s="19">
        <v>2179625</v>
      </c>
      <c r="G14" s="8" t="s">
        <v>21</v>
      </c>
      <c r="H14" s="10" t="s">
        <v>77</v>
      </c>
      <c r="I14" s="8">
        <v>7</v>
      </c>
      <c r="J14" s="8" t="s">
        <v>78</v>
      </c>
      <c r="K14" s="15">
        <v>66</v>
      </c>
      <c r="L14" s="17" t="s">
        <v>21</v>
      </c>
      <c r="M14" s="34" t="s">
        <v>21</v>
      </c>
      <c r="N14" s="4" t="s">
        <v>21</v>
      </c>
      <c r="O14" s="11" t="s">
        <v>79</v>
      </c>
      <c r="X14" s="35" t="s">
        <v>24</v>
      </c>
    </row>
    <row r="15" spans="1:24" ht="14.5" x14ac:dyDescent="0.35">
      <c r="A15" s="2" t="s">
        <v>80</v>
      </c>
      <c r="B15" s="2" t="str">
        <f>VLOOKUP(A15,'Zeo++'!$A$2:$A$14,1,FALSE)</f>
        <v>DUT-4</v>
      </c>
      <c r="C15" s="8" t="s">
        <v>75</v>
      </c>
      <c r="D15" s="10" t="s">
        <v>81</v>
      </c>
      <c r="E15" s="3" t="s">
        <v>82</v>
      </c>
      <c r="F15" s="3">
        <v>1228352</v>
      </c>
      <c r="G15" s="8" t="s">
        <v>21</v>
      </c>
      <c r="H15" s="10" t="s">
        <v>77</v>
      </c>
      <c r="I15" s="8">
        <v>7</v>
      </c>
      <c r="J15" s="8" t="s">
        <v>83</v>
      </c>
      <c r="K15" s="15">
        <v>171</v>
      </c>
      <c r="L15" s="17" t="s">
        <v>21</v>
      </c>
      <c r="M15" s="10" t="s">
        <v>84</v>
      </c>
      <c r="N15" s="4" t="s">
        <v>85</v>
      </c>
      <c r="O15" s="11" t="s">
        <v>79</v>
      </c>
      <c r="X15" s="8" t="s">
        <v>86</v>
      </c>
    </row>
    <row r="16" spans="1:24" ht="14.5" x14ac:dyDescent="0.35">
      <c r="A16" s="2" t="s">
        <v>87</v>
      </c>
      <c r="B16" s="2" t="str">
        <f>VLOOKUP(A16,'Zeo++'!$A$2:$A$14,1,FALSE)</f>
        <v>DUT-5</v>
      </c>
      <c r="C16" s="8" t="s">
        <v>75</v>
      </c>
      <c r="D16" s="9" t="s">
        <v>40</v>
      </c>
      <c r="E16" s="3" t="s">
        <v>36</v>
      </c>
      <c r="F16" s="3">
        <v>691979</v>
      </c>
      <c r="G16" s="8" t="s">
        <v>21</v>
      </c>
      <c r="H16" s="10" t="s">
        <v>77</v>
      </c>
      <c r="I16" s="8">
        <v>7</v>
      </c>
      <c r="J16" s="8" t="s">
        <v>83</v>
      </c>
      <c r="K16" s="15">
        <v>305</v>
      </c>
      <c r="L16" s="17" t="s">
        <v>21</v>
      </c>
      <c r="M16" s="10" t="s">
        <v>84</v>
      </c>
      <c r="N16" s="4" t="s">
        <v>85</v>
      </c>
      <c r="O16" s="11" t="s">
        <v>79</v>
      </c>
      <c r="X16" s="10" t="s">
        <v>44</v>
      </c>
    </row>
    <row r="17" spans="1:24" s="1" customFormat="1" ht="14.5" x14ac:dyDescent="0.35">
      <c r="A17" s="2" t="s">
        <v>88</v>
      </c>
      <c r="B17" s="2" t="e">
        <f>VLOOKUP(A17,'Zeo++'!$A$2:$A$14,1,FALSE)</f>
        <v>#N/A</v>
      </c>
      <c r="C17" s="8" t="s">
        <v>75</v>
      </c>
      <c r="D17" s="10" t="s">
        <v>40</v>
      </c>
      <c r="E17" s="8" t="s">
        <v>36</v>
      </c>
      <c r="F17" s="8" t="s">
        <v>36</v>
      </c>
      <c r="G17" s="8">
        <v>0.1</v>
      </c>
      <c r="H17" s="8" t="s">
        <v>89</v>
      </c>
      <c r="I17" s="8">
        <v>3</v>
      </c>
      <c r="J17" s="8" t="s">
        <v>54</v>
      </c>
      <c r="K17" s="15">
        <v>148</v>
      </c>
      <c r="L17" s="17" t="s">
        <v>21</v>
      </c>
      <c r="M17" s="8" t="s">
        <v>90</v>
      </c>
      <c r="N17" s="4" t="s">
        <v>91</v>
      </c>
      <c r="O17" s="7" t="s">
        <v>92</v>
      </c>
      <c r="X17" s="10" t="s">
        <v>44</v>
      </c>
    </row>
    <row r="18" spans="1:24" s="29" customFormat="1" ht="14.5" x14ac:dyDescent="0.35">
      <c r="A18" s="43" t="s">
        <v>93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</row>
    <row r="19" spans="1:24" s="5" customFormat="1" ht="14.5" x14ac:dyDescent="0.35">
      <c r="A19" s="6" t="s">
        <v>94</v>
      </c>
      <c r="B19" s="2" t="str">
        <f>VLOOKUP(A19,'Zeo++'!$A$2:$A$14,1,FALSE)</f>
        <v>ZIF-8</v>
      </c>
      <c r="C19" s="6" t="s">
        <v>95</v>
      </c>
      <c r="D19" s="24" t="s">
        <v>96</v>
      </c>
      <c r="E19" s="3" t="s">
        <v>97</v>
      </c>
      <c r="F19" s="3">
        <v>2353474</v>
      </c>
      <c r="G19" s="6">
        <v>0.5</v>
      </c>
      <c r="H19" s="6">
        <v>500</v>
      </c>
      <c r="I19" s="6">
        <v>7</v>
      </c>
      <c r="J19" s="6" t="s">
        <v>98</v>
      </c>
      <c r="K19" s="25">
        <v>401</v>
      </c>
      <c r="L19" s="26" t="s">
        <v>21</v>
      </c>
      <c r="M19" s="6" t="s">
        <v>21</v>
      </c>
      <c r="N19" s="6" t="s">
        <v>21</v>
      </c>
      <c r="O19" s="11" t="s">
        <v>99</v>
      </c>
      <c r="X19" s="35" t="s">
        <v>100</v>
      </c>
    </row>
    <row r="20" spans="1:24" s="30" customFormat="1" ht="14.5" x14ac:dyDescent="0.35">
      <c r="A20" s="44" t="s">
        <v>101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</row>
    <row r="21" spans="1:24" ht="14.5" x14ac:dyDescent="0.35">
      <c r="A21" s="2" t="s">
        <v>102</v>
      </c>
      <c r="B21" s="2" t="e">
        <f>VLOOKUP(A21,'Zeo++'!$A$2:$A$14,1,FALSE)</f>
        <v>#N/A</v>
      </c>
      <c r="C21" s="10" t="s">
        <v>103</v>
      </c>
      <c r="D21" s="10" t="s">
        <v>104</v>
      </c>
      <c r="E21" s="8" t="s">
        <v>36</v>
      </c>
      <c r="F21" s="8" t="s">
        <v>36</v>
      </c>
      <c r="G21" s="3">
        <v>0.1</v>
      </c>
      <c r="H21" s="3" t="s">
        <v>105</v>
      </c>
      <c r="I21" s="8" t="s">
        <v>21</v>
      </c>
      <c r="J21" s="3" t="s">
        <v>106</v>
      </c>
      <c r="K21" s="33">
        <v>142.1</v>
      </c>
      <c r="L21" s="22">
        <v>88.1</v>
      </c>
      <c r="M21" s="3" t="s">
        <v>107</v>
      </c>
      <c r="N21" s="9" t="s">
        <v>108</v>
      </c>
      <c r="O21" s="11" t="s">
        <v>109</v>
      </c>
      <c r="X21" s="41" t="s">
        <v>110</v>
      </c>
    </row>
    <row r="22" spans="1:24" ht="14.5" x14ac:dyDescent="0.35">
      <c r="A22" s="2" t="s">
        <v>111</v>
      </c>
      <c r="B22" s="2" t="e">
        <f>VLOOKUP(A22,'Zeo++'!$A$2:$A$14,1,FALSE)</f>
        <v>#N/A</v>
      </c>
      <c r="C22" s="10" t="s">
        <v>103</v>
      </c>
      <c r="D22" s="10" t="s">
        <v>112</v>
      </c>
      <c r="E22" s="8" t="s">
        <v>36</v>
      </c>
      <c r="F22" s="8" t="s">
        <v>36</v>
      </c>
      <c r="G22" s="3">
        <v>0.1</v>
      </c>
      <c r="H22" s="3" t="s">
        <v>105</v>
      </c>
      <c r="I22" s="8" t="s">
        <v>21</v>
      </c>
      <c r="J22" s="3" t="s">
        <v>106</v>
      </c>
      <c r="K22" s="33">
        <v>69.099999999999994</v>
      </c>
      <c r="L22" s="33">
        <v>45.7</v>
      </c>
      <c r="M22" s="3" t="s">
        <v>107</v>
      </c>
      <c r="N22" s="3" t="s">
        <v>21</v>
      </c>
      <c r="O22" s="11" t="s">
        <v>109</v>
      </c>
      <c r="X22" s="41" t="s">
        <v>110</v>
      </c>
    </row>
    <row r="23" spans="1:24" s="31" customFormat="1" ht="14.5" x14ac:dyDescent="0.35">
      <c r="A23" s="45" t="s">
        <v>113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</row>
    <row r="24" spans="1:24" ht="14.5" x14ac:dyDescent="0.35">
      <c r="A24" s="8" t="s">
        <v>114</v>
      </c>
      <c r="B24" s="2" t="str">
        <f>VLOOKUP(A24,'Zeo++'!$A$2:$A$14,1,FALSE)</f>
        <v>ZIF-67</v>
      </c>
      <c r="C24" s="3" t="s">
        <v>115</v>
      </c>
      <c r="D24" s="19" t="s">
        <v>116</v>
      </c>
      <c r="E24" s="8" t="s">
        <v>117</v>
      </c>
      <c r="F24" s="8">
        <v>1429244</v>
      </c>
      <c r="G24" s="3">
        <v>0.5</v>
      </c>
      <c r="H24" s="3" t="s">
        <v>42</v>
      </c>
      <c r="I24" s="18">
        <v>7</v>
      </c>
      <c r="J24" s="3" t="s">
        <v>118</v>
      </c>
      <c r="K24" s="22">
        <v>727</v>
      </c>
      <c r="L24" s="21" t="s">
        <v>21</v>
      </c>
      <c r="M24" s="3" t="s">
        <v>21</v>
      </c>
      <c r="N24" s="3" t="s">
        <v>21</v>
      </c>
      <c r="O24" s="11" t="s">
        <v>99</v>
      </c>
      <c r="X24" s="35" t="s">
        <v>100</v>
      </c>
    </row>
    <row r="25" spans="1:24" ht="14.5" x14ac:dyDescent="0.35"/>
    <row r="26" spans="1:24" ht="15" customHeight="1" x14ac:dyDescent="0.35">
      <c r="A26" s="42" t="s">
        <v>119</v>
      </c>
      <c r="B26" s="42"/>
      <c r="C26" s="42"/>
    </row>
    <row r="28" spans="1:24" ht="14.5" x14ac:dyDescent="0.35"/>
    <row r="29" spans="1:24" ht="14.5" x14ac:dyDescent="0.35"/>
    <row r="30" spans="1:24" ht="14.5" x14ac:dyDescent="0.35"/>
    <row r="31" spans="1:24" ht="14.5" x14ac:dyDescent="0.35"/>
    <row r="32" spans="1:24" ht="14.5" x14ac:dyDescent="0.35"/>
    <row r="33" ht="14.5" x14ac:dyDescent="0.35"/>
    <row r="34" ht="14.5" x14ac:dyDescent="0.35"/>
    <row r="35" ht="14.5" x14ac:dyDescent="0.35"/>
    <row r="46" ht="14.5" x14ac:dyDescent="0.35"/>
    <row r="47" ht="14.5" x14ac:dyDescent="0.35"/>
    <row r="48" ht="14.5" x14ac:dyDescent="0.35"/>
    <row r="49" ht="14.5" x14ac:dyDescent="0.35"/>
    <row r="51" ht="14.5" x14ac:dyDescent="0.35"/>
    <row r="55" ht="14.5" x14ac:dyDescent="0.35"/>
    <row r="59" ht="14.5" x14ac:dyDescent="0.35"/>
  </sheetData>
  <mergeCells count="6">
    <mergeCell ref="A26:C26"/>
    <mergeCell ref="A18:O18"/>
    <mergeCell ref="A20:O20"/>
    <mergeCell ref="A23:O23"/>
    <mergeCell ref="A3:O3"/>
    <mergeCell ref="A13:O13"/>
  </mergeCells>
  <phoneticPr fontId="4" type="noConversion"/>
  <hyperlinks>
    <hyperlink ref="O4" r:id="rId1" xr:uid="{0A791055-9D76-4B2C-AED2-28ACE3BBA4B4}"/>
    <hyperlink ref="O5" r:id="rId2" xr:uid="{046BE461-0248-4061-B159-0C9BB763C907}"/>
    <hyperlink ref="O6:O7" r:id="rId3" display="https://advanced.onlinelibrary.wiley.com/doi/full/10.1002/adma.202413120" xr:uid="{87486865-AC74-45D9-9BFB-C9607BEFE4D5}"/>
    <hyperlink ref="O12" r:id="rId4" xr:uid="{59B741F2-1411-45E6-A4B7-D6011CD2E455}"/>
    <hyperlink ref="O21" r:id="rId5" xr:uid="{E27F8C58-92D9-4C4C-8F3E-D627EA9BADC0}"/>
    <hyperlink ref="O22" r:id="rId6" xr:uid="{3527C01A-E922-4733-B839-9D313B507F2A}"/>
    <hyperlink ref="O8" r:id="rId7" location="s0010" xr:uid="{0365E304-DB14-4B21-A7A5-C81663ABF977}"/>
    <hyperlink ref="O9" r:id="rId8" xr:uid="{7D5168EE-8C9E-406D-93C0-904056B0A1E0}"/>
    <hyperlink ref="O10" r:id="rId9" location="s0010" xr:uid="{8DF6C505-D18E-4914-B8AF-696848AD4F68}"/>
    <hyperlink ref="O11" r:id="rId10" xr:uid="{BF2C9CB7-F1A9-4C05-AFEF-0F50864CD074}"/>
    <hyperlink ref="O14" r:id="rId11" xr:uid="{4D74A46E-A6FE-4CCE-945A-EFA4B890AD05}"/>
    <hyperlink ref="O15" r:id="rId12" xr:uid="{1B14012B-0737-4830-9C5D-8EF2BF1C5F65}"/>
    <hyperlink ref="O16" r:id="rId13" xr:uid="{652142A1-AF16-4E08-9A02-3CCA454CFA4F}"/>
    <hyperlink ref="O24" r:id="rId14" xr:uid="{07F75260-A95C-4845-A6B3-70861DB695BD}"/>
    <hyperlink ref="O19" r:id="rId15" location="sec0010" xr:uid="{C6BD8929-B831-4B16-9C41-7912EC1C4678}"/>
    <hyperlink ref="O17" r:id="rId16" xr:uid="{3AEBBAD6-D800-41D4-A26F-20B7B239E7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AA3C-A9F0-4AC8-9636-FC38F44666C1}">
  <dimension ref="A2:A14"/>
  <sheetViews>
    <sheetView tabSelected="1" workbookViewId="0">
      <selection activeCell="C2" sqref="C2"/>
    </sheetView>
  </sheetViews>
  <sheetFormatPr defaultRowHeight="14.5" x14ac:dyDescent="0.35"/>
  <cols>
    <col min="1" max="1" width="11.6328125" bestFit="1" customWidth="1"/>
  </cols>
  <sheetData>
    <row r="2" spans="1:1" x14ac:dyDescent="0.35">
      <c r="A2" t="s">
        <v>15</v>
      </c>
    </row>
    <row r="3" spans="1:1" x14ac:dyDescent="0.35">
      <c r="A3" t="s">
        <v>25</v>
      </c>
    </row>
    <row r="4" spans="1:1" x14ac:dyDescent="0.35">
      <c r="A4" t="s">
        <v>34</v>
      </c>
    </row>
    <row r="5" spans="1:1" x14ac:dyDescent="0.35">
      <c r="A5" t="s">
        <v>39</v>
      </c>
    </row>
    <row r="6" spans="1:1" x14ac:dyDescent="0.35">
      <c r="A6" t="s">
        <v>45</v>
      </c>
    </row>
    <row r="7" spans="1:1" x14ac:dyDescent="0.35">
      <c r="A7" t="s">
        <v>50</v>
      </c>
    </row>
    <row r="8" spans="1:1" x14ac:dyDescent="0.35">
      <c r="A8" t="s">
        <v>57</v>
      </c>
    </row>
    <row r="9" spans="1:1" x14ac:dyDescent="0.35">
      <c r="A9" t="s">
        <v>65</v>
      </c>
    </row>
    <row r="10" spans="1:1" x14ac:dyDescent="0.35">
      <c r="A10" t="s">
        <v>74</v>
      </c>
    </row>
    <row r="11" spans="1:1" x14ac:dyDescent="0.35">
      <c r="A11" t="s">
        <v>80</v>
      </c>
    </row>
    <row r="12" spans="1:1" x14ac:dyDescent="0.35">
      <c r="A12" t="s">
        <v>87</v>
      </c>
    </row>
    <row r="13" spans="1:1" x14ac:dyDescent="0.35">
      <c r="A13" t="s">
        <v>94</v>
      </c>
    </row>
    <row r="14" spans="1:1" x14ac:dyDescent="0.35">
      <c r="A14" t="s">
        <v>114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Zeo++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ULPG:Qihao.Yin</dc:creator>
  <cp:keywords/>
  <dc:description/>
  <cp:lastModifiedBy>Hasan Mansoor (Staff)</cp:lastModifiedBy>
  <cp:revision/>
  <dcterms:created xsi:type="dcterms:W3CDTF">2025-06-06T19:34:18Z</dcterms:created>
  <dcterms:modified xsi:type="dcterms:W3CDTF">2026-01-16T19:57:04Z</dcterms:modified>
  <cp:category/>
  <cp:contentStatus/>
</cp:coreProperties>
</file>